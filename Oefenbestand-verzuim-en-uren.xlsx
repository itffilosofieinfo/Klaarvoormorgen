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lie1/Documents/Mijn Documenten Archief/02 Eigen bedrijf/Promoveren/Workshops per klant/Klaar voor morgen/"/>
    </mc:Choice>
  </mc:AlternateContent>
  <xr:revisionPtr revIDLastSave="0" documentId="13_ncr:1_{2B90B3EB-027E-3641-BDC9-56844268D108}" xr6:coauthVersionLast="47" xr6:coauthVersionMax="47" xr10:uidLastSave="{00000000-0000-0000-0000-000000000000}"/>
  <bookViews>
    <workbookView xWindow="2680" yWindow="9400" windowWidth="28240" windowHeight="17240" xr2:uid="{BC64122E-F4AE-EB4B-A0BC-FA6DC2C1C7E6}"/>
  </bookViews>
  <sheets>
    <sheet name="Toelichting" sheetId="2" r:id="rId1"/>
    <sheet name="Registratie" sheetId="1" r:id="rId2"/>
    <sheet name="Antwoordmodel" sheetId="3" state="hidden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2" i="3" l="1"/>
  <c r="B41" i="3"/>
  <c r="B40" i="3"/>
  <c r="B39" i="3"/>
  <c r="M38" i="3"/>
  <c r="L38" i="3"/>
  <c r="K38" i="3"/>
  <c r="J38" i="3"/>
  <c r="I38" i="3"/>
  <c r="H38" i="3"/>
  <c r="G38" i="3"/>
  <c r="F38" i="3"/>
  <c r="E38" i="3"/>
  <c r="D38" i="3"/>
  <c r="C38" i="3"/>
  <c r="C39" i="3"/>
  <c r="D39" i="3"/>
  <c r="E39" i="3"/>
  <c r="F39" i="3"/>
  <c r="G39" i="3"/>
  <c r="H39" i="3"/>
  <c r="I39" i="3"/>
  <c r="J39" i="3"/>
  <c r="K39" i="3"/>
  <c r="L39" i="3"/>
  <c r="M39" i="3"/>
  <c r="C40" i="3"/>
  <c r="D40" i="3"/>
  <c r="E40" i="3"/>
  <c r="F40" i="3"/>
  <c r="G40" i="3"/>
  <c r="H40" i="3"/>
  <c r="I40" i="3"/>
  <c r="J40" i="3"/>
  <c r="K40" i="3"/>
  <c r="L40" i="3"/>
  <c r="M40" i="3"/>
  <c r="C41" i="3"/>
  <c r="D41" i="3"/>
  <c r="E41" i="3"/>
  <c r="F41" i="3"/>
  <c r="G41" i="3"/>
  <c r="H41" i="3"/>
  <c r="I41" i="3"/>
  <c r="J41" i="3"/>
  <c r="K41" i="3"/>
  <c r="L41" i="3"/>
  <c r="M41" i="3"/>
  <c r="C42" i="3"/>
  <c r="D42" i="3"/>
  <c r="E42" i="3"/>
  <c r="F42" i="3"/>
  <c r="G42" i="3"/>
  <c r="H42" i="3"/>
  <c r="I42" i="3"/>
  <c r="J42" i="3"/>
  <c r="K42" i="3"/>
  <c r="L42" i="3"/>
  <c r="M42" i="3"/>
  <c r="B38" i="3"/>
  <c r="E34" i="3" a="1"/>
  <c r="D34" i="3"/>
  <c r="C34" i="3"/>
  <c r="B34" i="3"/>
  <c r="B32" i="3"/>
  <c r="C32" i="3" s="1"/>
  <c r="D32" i="3"/>
  <c r="E32" i="3" a="1"/>
  <c r="B33" i="3"/>
  <c r="C33" i="3" s="1"/>
  <c r="D33" i="3"/>
  <c r="E33" i="3" a="1"/>
  <c r="E31" i="3" a="1"/>
  <c r="D31" i="3"/>
  <c r="C31" i="3"/>
  <c r="B31" i="3"/>
  <c r="G27" i="3"/>
  <c r="F27" i="3"/>
  <c r="E27" i="3"/>
  <c r="D27" i="3"/>
  <c r="B27" i="3"/>
  <c r="C27" i="3"/>
  <c r="B16" i="3"/>
  <c r="C16" i="3"/>
  <c r="E16" i="3"/>
  <c r="F16" i="3" s="1"/>
  <c r="B17" i="3"/>
  <c r="D17" i="3" s="1"/>
  <c r="C17" i="3"/>
  <c r="E17" i="3"/>
  <c r="B18" i="3"/>
  <c r="C18" i="3"/>
  <c r="E18" i="3"/>
  <c r="F18" i="3" s="1"/>
  <c r="B19" i="3"/>
  <c r="C19" i="3"/>
  <c r="E19" i="3"/>
  <c r="F19" i="3" s="1"/>
  <c r="B20" i="3"/>
  <c r="C20" i="3"/>
  <c r="E20" i="3"/>
  <c r="F20" i="3" s="1"/>
  <c r="B21" i="3"/>
  <c r="C21" i="3"/>
  <c r="E21" i="3"/>
  <c r="F21" i="3" s="1"/>
  <c r="B22" i="3"/>
  <c r="C22" i="3"/>
  <c r="E22" i="3"/>
  <c r="F22" i="3" s="1"/>
  <c r="B23" i="3"/>
  <c r="C23" i="3"/>
  <c r="E23" i="3"/>
  <c r="F23" i="3" s="1"/>
  <c r="B24" i="3"/>
  <c r="C24" i="3"/>
  <c r="E24" i="3"/>
  <c r="F24" i="3" s="1"/>
  <c r="B25" i="3"/>
  <c r="C25" i="3"/>
  <c r="D25" i="3"/>
  <c r="E25" i="3"/>
  <c r="F25" i="3"/>
  <c r="G25" i="3"/>
  <c r="B26" i="3"/>
  <c r="C26" i="3"/>
  <c r="D26" i="3" s="1"/>
  <c r="E26" i="3"/>
  <c r="G15" i="3"/>
  <c r="F15" i="3"/>
  <c r="E15" i="3"/>
  <c r="D15" i="3"/>
  <c r="C15" i="3"/>
  <c r="B15" i="3"/>
  <c r="G11" i="3"/>
  <c r="F11" i="3"/>
  <c r="E11" i="3"/>
  <c r="D11" i="3"/>
  <c r="C11" i="3"/>
  <c r="B11" i="3"/>
  <c r="G10" i="3" a="1"/>
  <c r="F10" i="3"/>
  <c r="E10" i="3"/>
  <c r="C10" i="3"/>
  <c r="B10" i="3"/>
  <c r="D10" i="3" s="1"/>
  <c r="G9" i="3" a="1"/>
  <c r="F9" i="3"/>
  <c r="E9" i="3"/>
  <c r="C9" i="3"/>
  <c r="B9" i="3"/>
  <c r="D9" i="3" s="1"/>
  <c r="G8" i="3" a="1"/>
  <c r="F8" i="3"/>
  <c r="E8" i="3"/>
  <c r="C8" i="3"/>
  <c r="B8" i="3"/>
  <c r="D8" i="3" s="1"/>
  <c r="G7" i="3" a="1"/>
  <c r="F7" i="3"/>
  <c r="E7" i="3"/>
  <c r="C7" i="3"/>
  <c r="B7" i="3"/>
  <c r="D7" i="3" s="1"/>
  <c r="G6" i="3" a="1"/>
  <c r="F6" i="3"/>
  <c r="E6" i="3"/>
  <c r="D6" i="3"/>
  <c r="C6" i="3"/>
  <c r="B6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" i="1"/>
  <c r="G16" i="3" l="1"/>
  <c r="D16" i="3"/>
  <c r="F17" i="3"/>
  <c r="G17" i="3"/>
  <c r="G18" i="3"/>
  <c r="D18" i="3"/>
  <c r="D19" i="3"/>
  <c r="G19" i="3"/>
  <c r="D20" i="3"/>
  <c r="G20" i="3"/>
  <c r="G21" i="3"/>
  <c r="D21" i="3"/>
  <c r="D22" i="3"/>
  <c r="G22" i="3"/>
  <c r="D23" i="3"/>
  <c r="G23" i="3"/>
  <c r="G24" i="3"/>
  <c r="D24" i="3"/>
  <c r="G26" i="3"/>
  <c r="F2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<sst xmlns="http://schemas.openxmlformats.org/spreadsheetml/2006/main" count="1268" uniqueCount="125">
  <si>
    <t>Maand</t>
  </si>
  <si>
    <t>Medewerker</t>
  </si>
  <si>
    <t>Afdeling</t>
  </si>
  <si>
    <t>Functie</t>
  </si>
  <si>
    <t>Contracturen</t>
  </si>
  <si>
    <t>Gewerkte uren</t>
  </si>
  <si>
    <t>Overuren</t>
  </si>
  <si>
    <t>Verzuimuren</t>
  </si>
  <si>
    <t>Verzuimdagen</t>
  </si>
  <si>
    <t>Verzuimsoort</t>
  </si>
  <si>
    <t>Verzuim %</t>
  </si>
  <si>
    <t>Sanne de Vries</t>
  </si>
  <si>
    <t>Zorg</t>
  </si>
  <si>
    <t>Verzorgende IG</t>
  </si>
  <si>
    <t>Geen</t>
  </si>
  <si>
    <t>Youssef El Amrani</t>
  </si>
  <si>
    <t>Verpleegkundige</t>
  </si>
  <si>
    <t>Marieke Bosman</t>
  </si>
  <si>
    <t>Kort (&lt; 1 week)</t>
  </si>
  <si>
    <t>Dennis Kuipers</t>
  </si>
  <si>
    <t>Fatima Yildiz</t>
  </si>
  <si>
    <t>Helpende</t>
  </si>
  <si>
    <t>Petra Schouten</t>
  </si>
  <si>
    <t>Teamleider</t>
  </si>
  <si>
    <t>Ronald Verbeek</t>
  </si>
  <si>
    <t>Facilitair</t>
  </si>
  <si>
    <t>Onderhoudsmonteur</t>
  </si>
  <si>
    <t>Kevin Molenaar</t>
  </si>
  <si>
    <t>Schoonmaakmedewerker</t>
  </si>
  <si>
    <t>Ans Wiegers</t>
  </si>
  <si>
    <t>Kok</t>
  </si>
  <si>
    <t>Bram Hendriks</t>
  </si>
  <si>
    <t>Ingrid Doornbos</t>
  </si>
  <si>
    <t>Klantcontact</t>
  </si>
  <si>
    <t>Medewerker klantcontact</t>
  </si>
  <si>
    <t>Tim Verhoeven</t>
  </si>
  <si>
    <t>Nadia Bakker</t>
  </si>
  <si>
    <t>Joost Kramer</t>
  </si>
  <si>
    <t>Middellang (1-6 wk)</t>
  </si>
  <si>
    <t>Esther van Dijk</t>
  </si>
  <si>
    <t>Hakan Demir</t>
  </si>
  <si>
    <t>Administratie</t>
  </si>
  <si>
    <t>Financieel medewerker</t>
  </si>
  <si>
    <t>Wilma Brouwer</t>
  </si>
  <si>
    <t>Salarisadministrateur</t>
  </si>
  <si>
    <t>Lars Peeters</t>
  </si>
  <si>
    <t>Medewerker HR</t>
  </si>
  <si>
    <t>Chantal Wijnands</t>
  </si>
  <si>
    <t>Officemanager</t>
  </si>
  <si>
    <t>Rachid Ouali</t>
  </si>
  <si>
    <t>ICT</t>
  </si>
  <si>
    <t>Systeembeheerder</t>
  </si>
  <si>
    <t>Michiel de Groot</t>
  </si>
  <si>
    <t>Applicatiebeheerder</t>
  </si>
  <si>
    <t>Priya Nair</t>
  </si>
  <si>
    <t>Datacoördinator</t>
  </si>
  <si>
    <t>Jeroen Smits</t>
  </si>
  <si>
    <t>Servicedeskmedewerker</t>
  </si>
  <si>
    <t>Linda Aarts</t>
  </si>
  <si>
    <t>Langdurig (&gt; 6 wk)</t>
  </si>
  <si>
    <t>Oefenbestand verzuim en uren</t>
  </si>
  <si>
    <t>Fictieve data voor de workshop "Klaar voor morgen — AI in de praktijk", hoofdstuk 2: Werken</t>
  </si>
  <si>
    <t>Wat zit erin?</t>
  </si>
  <si>
    <t>Tabblad 'Registratie': 288 regels — 24 medewerkers × 12 maanden (2025), verdeeld over 5 afdelingen.</t>
  </si>
  <si>
    <t>Alle namen en cijfers zijn verzonnen. Er staat geen enkel echt persoonsgegeven in dit bestand.</t>
  </si>
  <si>
    <t>Kolommen</t>
  </si>
  <si>
    <t>Eerste dag van de maand (2025)</t>
  </si>
  <si>
    <t>Fictieve naam</t>
  </si>
  <si>
    <t>Zorg, Facilitair, Klantcontact, Administratie, ICT</t>
  </si>
  <si>
    <t>Functietitel</t>
  </si>
  <si>
    <t>Te werken uren in die maand volgens contract</t>
  </si>
  <si>
    <t>Contracturen − verzuimuren + overuren</t>
  </si>
  <si>
    <t>Extra gewerkte uren</t>
  </si>
  <si>
    <t>Uren afwezig door ziekte</t>
  </si>
  <si>
    <t>Aantal ziektedagen in die maand</t>
  </si>
  <si>
    <t>Geen / Kort (&lt; 1 week) / Middellang (1-6 wk) / Langdurig (&gt; 6 wk)</t>
  </si>
  <si>
    <t>Verzuimuren gedeeld door contracturen (formule)</t>
  </si>
  <si>
    <t>Drie manieren om dit bestand met AI te gebruiken</t>
  </si>
  <si>
    <t>1. Bestand uploaden en laten analyseren</t>
  </si>
  <si>
    <t>Sleep dit bestand in je AI-tool en stel je vraag in gewone taal.</t>
  </si>
  <si>
    <t>2. Formule of stappenplan vragen</t>
  </si>
  <si>
    <t>Vraag de AI om de juiste Excel-formule of een draaitabel-instructie; jij voert hem zelf in.</t>
  </si>
  <si>
    <t>3. AI naast Excel laten meewerken</t>
  </si>
  <si>
    <t>Laat de AI in het bestand zelf rekenen, opmaken en grafieken maken.</t>
  </si>
  <si>
    <t>Oefenvragen</t>
  </si>
  <si>
    <t>Welke afdeling heeft het hoogste verzuimpercentage over heel 2025? En de laagste?</t>
  </si>
  <si>
    <t>In welke maanden piekt het verzuim? Wat zou dat kunnen verklaren?</t>
  </si>
  <si>
    <t>Hoeveel van het totale verzuim komt van langdurig verzuim? Hoeveel medewerkers zijn dat?</t>
  </si>
  <si>
    <t>Waar worden de meeste overuren gemaakt — en hangt dat samen met verzuim op die afdeling?</t>
  </si>
  <si>
    <t>Maak een overzicht per afdeling per maand en zet het in een grafiek.</t>
  </si>
  <si>
    <t>Vraag de AI om drie mogelijke verklaringen én om wat er in deze data juist niet te zien is.</t>
  </si>
  <si>
    <t>Let op</t>
  </si>
  <si>
    <t>Deze cijfers zijn verzonnen. Elk patroon dat je vindt is een oefening in kijken en doorvragen, geen conclusie over echte mensen.</t>
  </si>
  <si>
    <t>Zet nooit echte verzuimgegevens met namen in een AI-tool. Verzuim is een bijzonder persoonsgegeven — anonimiseer eerst of gebruik alleen totalen.</t>
  </si>
  <si>
    <t>Antwoordmodel — alleen voor de trainer</t>
  </si>
  <si>
    <t>Alle cijfers zijn formules op het tabblad Registratie. Fictieve data — elk patroon is verzonnen.</t>
  </si>
  <si>
    <t>1. Verzuim per afdeling, heel 2025 (vraag 1)</t>
  </si>
  <si>
    <t>waarvan langdurig</t>
  </si>
  <si>
    <t>Medewerkers</t>
  </si>
  <si>
    <t>Totaal</t>
  </si>
  <si>
    <t>2. Verzuim per maand — hele organisatie (vraag 2)</t>
  </si>
  <si>
    <t>langdurig als % van maandverzuim</t>
  </si>
  <si>
    <t>Verzuim % excl. langdurig</t>
  </si>
  <si>
    <t>3. Verzuim naar soort (vraag 3)</t>
  </si>
  <si>
    <t>% van totaal verzuim</t>
  </si>
  <si>
    <t>Registratieregels</t>
  </si>
  <si>
    <t>Unieke medewerkers</t>
  </si>
  <si>
    <t>4. Verzuim % per afdeling per maand (vraag 5) — let op: 4 tot 6 medewerkers per afdeling</t>
  </si>
  <si>
    <t>5. Aandachtspunten voor de trainer</t>
  </si>
  <si>
    <t>Kolom G in blok 2</t>
  </si>
  <si>
    <t>Het verzuim % éxclusief langdurig verzuim. December zakt van 10,9% naar 2,6% en oktober van 9,9% naar 2,2%: de “najaarspiek” is bijna volledig één of twee langdurige gevallen, geen seizoenseffect.</t>
  </si>
  <si>
    <t>November</t>
  </si>
  <si>
    <t>November staat op 3,4%, tussen oktober (9,9%) en december (10,9%). Wie alleen de top-6 maanden laat zien, ziet een aaneengesloten najaarspiek die er niet is. Laat altijd alle 12 maanden zien.</t>
  </si>
  <si>
    <t>Kleine aantallen</t>
  </si>
  <si>
    <t>Elke afdeling heeft 4 tot 6 medewerkers (kolom G in blok 1). Facilitair juni 30,5% en Administratie februari 29,6% zijn één persoon. Noem het aantal mensen, niet het percentage.</t>
  </si>
  <si>
    <t>Langdurig verzuim</t>
  </si>
  <si>
    <t>55,4% van alle verzuimuren komt van 9 medewerkers. Een hoog afdelingspercentage zegt daarom weinig over de hele afdeling.</t>
  </si>
  <si>
    <t>ICT heeft veel overuren (118) en het laagste verzuim (2,0%); Klantcontact heeft veel van beide. Geen één-op-één verband. Bovendien maakt wie langdurig ziek is per definitie geen overuren, wat elk verband mechanisch dempt.</t>
  </si>
  <si>
    <t>Altijd benoemen</t>
  </si>
  <si>
    <t>De data zijn verzonnen. Elk patroon hierboven is een oefening in kijken en doorvragen, geen uitspraak over echte mensen.</t>
  </si>
  <si>
    <t>Antwoordmodel</t>
  </si>
  <si>
    <t>Voor de trainer</t>
  </si>
  <si>
    <t>Dit bestand bevat een verborgen tabblad 'Antwoordmodel' met de uitwerking van de zes vragen. Het wachtwoord is op te vragen bij de trainer.</t>
  </si>
  <si>
    <t>Zichtbaar maken</t>
  </si>
  <si>
    <t>Windows: rechtermuisklik op een tabblad onderaan &gt; Zichtbaar maken &gt; kies 'Antwoordmodel'. Mac: rechtermuisklik op een tabblad &gt; Zichtbaar maken. Lukt dat niet, dan zit er nog werkmapbeveiliging op: Controleren &gt; Werkmap beveiligen, wachtwoord invoeren, en daarna zichtbaar maken.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</si>
</sst>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,##0;\(#,##0\);\-"/>
    <numFmt numFmtId="167" formatCode="mmm/yyyy"/>
    <numFmt numFmtId="168" formatCode="0.0%"/>
    <numFmt numFmtId="169" formatCode="mmm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5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vertical="top"/>
    </xf>
    <xf numFmtId="167" fontId="0" fillId="0" borderId="0" xfId="0" applyNumberFormat="1"/>
    <xf numFmtId="168" fontId="0" fillId="0" borderId="0" xfId="0" applyNumberFormat="1"/>
    <xf numFmtId="0" fontId="6" fillId="0" borderId="0" xfId="0" applyFont="1"/>
    <xf numFmtId="168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  <xf numFmtId="169" fontId="1" fillId="2" borderId="0" xfId="0" applyNumberFormat="1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Standaard" xfId="0" builtinId="0"/>
  </cellStyles>
  <dxfs count="8">
    <dxf>
      <numFmt numFmtId="168" formatCode="0.0%"/>
    </dxf>
    <dxf>
      <numFmt numFmtId="167" formatCode="mmm/yyyy"/>
    </dxf>
    <dxf>
      <font>
        <b/>
      </font>
    </dxf>
    <dxf>
      <numFmt numFmtId="165" formatCode="#,##0;\(#,##0\);\-"/>
    </dxf>
    <dxf>
      <numFmt numFmtId="165" formatCode="#,##0;\(#,##0\);\-"/>
    </dxf>
    <dxf>
      <numFmt numFmtId="165" formatCode="#,##0;\(#,##0\);\-"/>
    </dxf>
    <dxf>
      <numFmt numFmtId="165" formatCode="#,##0;\(#,##0\);\-"/>
    </dxf>
    <dxf>
      <numFmt numFmtId="165" formatCode="#,##0;\(#,##0\);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BEEEF-254E-3F49-8015-0378C67B4E67}" name="Registratie" displayName="Registratie" ref="A1:K289" totalsRowShown="0" headerRowDxfId="2">
  <autoFilter ref="A1:K289" xr:uid="{B85BEEEF-254E-3F49-8015-0378C67B4E67}"/>
  <tableColumns count="11">
    <tableColumn id="1" xr3:uid="{D54DB162-2F52-6C44-8F98-1F2F0DD7E198}" name="Maand" dataDxfId="1"/>
    <tableColumn id="2" xr3:uid="{478EBF21-B010-2B46-96C7-EA442AEF4395}" name="Medewerker"/>
    <tableColumn id="3" xr3:uid="{261D1572-C073-F049-A951-81685E4BD07B}" name="Afdeling"/>
    <tableColumn id="4" xr3:uid="{9537DC80-6559-F44D-A9E6-98429C22CF1D}" name="Functie"/>
    <tableColumn id="5" xr3:uid="{9AB330B7-CA89-D548-B82F-AC5DBAF51AB4}" name="Contracturen" dataDxfId="7"/>
    <tableColumn id="6" xr3:uid="{9BEC0C82-D06B-8A47-A9F0-31B4E6AACF03}" name="Gewerkte uren" dataDxfId="6"/>
    <tableColumn id="7" xr3:uid="{7369B9AE-44B0-3840-BBD7-6C3B67C5C2A1}" name="Overuren" dataDxfId="5"/>
    <tableColumn id="8" xr3:uid="{CD3DE132-434F-294D-8B5B-016349BFF957}" name="Verzuimuren" dataDxfId="4"/>
    <tableColumn id="9" xr3:uid="{41CB522C-B4A5-8A48-86AB-8F55295F9DA4}" name="Verzuimdagen" dataDxfId="3"/>
    <tableColumn id="10" xr3:uid="{1FF3CEF2-CC64-E648-9583-CD957D5CEDED}" name="Verzuimsoort"/>
    <tableColumn id="11" xr3:uid="{129A2AF6-6776-0649-9073-17956B01FB62}" name="Verzuim %" dataDxfId="0">
      <calculatedColumnFormula>IFERROR(H2/E2,0)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025957-7D70-0E40-AE22-07139B968CF4}">
  <we:reference id="wa200009404" version="1.0.0.8" store="nl-NL" storeType="OMEX"/>
  <we:alternateReferences>
    <we:reference id="WA200009404" version="1.0.0.8" store="WA200009404" storeType="OMEX"/>
  </we:alternateReferences>
  <we:properties>
    <we:property name="claude.fileId" value="&quot;3bfa6c16-fce9-4935-bb08-f31b9740b37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F557-6200-FC4E-A246-EED988E3F6F7}">
  <dimension ref="A1:B40"/>
  <sheetViews>
    <sheetView tabSelected="1" topLeftCell="A8" workbookViewId="0">
      <selection activeCell="B40" sqref="B40"/>
    </sheetView>
  </sheetViews>
  <sheetFormatPr baseColWidth="10" defaultRowHeight="16" x14ac:dyDescent="0.2"/>
  <cols>
    <col min="1" max="1" width="21.6640625" customWidth="1"/>
    <col min="2" max="2" width="93.33203125" customWidth="1"/>
  </cols>
  <sheetData>
    <row r="1" spans="1:2" ht="24" x14ac:dyDescent="0.2">
      <c r="A1" s="4" t="s">
        <v>60</v>
      </c>
      <c r="B1" s="5"/>
    </row>
    <row r="2" spans="1:2" x14ac:dyDescent="0.2">
      <c r="A2" s="6" t="s">
        <v>61</v>
      </c>
      <c r="B2" s="5"/>
    </row>
    <row r="3" spans="1:2" x14ac:dyDescent="0.2">
      <c r="A3" s="5"/>
      <c r="B3" s="5"/>
    </row>
    <row r="4" spans="1:2" ht="18" x14ac:dyDescent="0.2">
      <c r="A4" s="7" t="s">
        <v>62</v>
      </c>
      <c r="B4" s="5"/>
    </row>
    <row r="5" spans="1:2" x14ac:dyDescent="0.2">
      <c r="A5" s="5" t="s">
        <v>63</v>
      </c>
      <c r="B5" s="5"/>
    </row>
    <row r="6" spans="1:2" x14ac:dyDescent="0.2">
      <c r="A6" s="5" t="s">
        <v>64</v>
      </c>
      <c r="B6" s="5"/>
    </row>
    <row r="7" spans="1:2" x14ac:dyDescent="0.2">
      <c r="A7" s="5"/>
      <c r="B7" s="5"/>
    </row>
    <row r="8" spans="1:2" ht="18" x14ac:dyDescent="0.2">
      <c r="A8" s="7" t="s">
        <v>65</v>
      </c>
      <c r="B8" s="5"/>
    </row>
    <row r="9" spans="1:2" x14ac:dyDescent="0.2">
      <c r="A9" s="8" t="s">
        <v>0</v>
      </c>
      <c r="B9" s="5" t="s">
        <v>66</v>
      </c>
    </row>
    <row r="10" spans="1:2" x14ac:dyDescent="0.2">
      <c r="A10" s="8" t="s">
        <v>1</v>
      </c>
      <c r="B10" s="5" t="s">
        <v>67</v>
      </c>
    </row>
    <row r="11" spans="1:2" x14ac:dyDescent="0.2">
      <c r="A11" s="8" t="s">
        <v>2</v>
      </c>
      <c r="B11" s="5" t="s">
        <v>68</v>
      </c>
    </row>
    <row r="12" spans="1:2" x14ac:dyDescent="0.2">
      <c r="A12" s="8" t="s">
        <v>3</v>
      </c>
      <c r="B12" s="5" t="s">
        <v>69</v>
      </c>
    </row>
    <row r="13" spans="1:2" x14ac:dyDescent="0.2">
      <c r="A13" s="8" t="s">
        <v>4</v>
      </c>
      <c r="B13" s="5" t="s">
        <v>70</v>
      </c>
    </row>
    <row r="14" spans="1:2" x14ac:dyDescent="0.2">
      <c r="A14" s="8" t="s">
        <v>5</v>
      </c>
      <c r="B14" s="5" t="s">
        <v>71</v>
      </c>
    </row>
    <row r="15" spans="1:2" x14ac:dyDescent="0.2">
      <c r="A15" s="8" t="s">
        <v>6</v>
      </c>
      <c r="B15" s="5" t="s">
        <v>72</v>
      </c>
    </row>
    <row r="16" spans="1:2" x14ac:dyDescent="0.2">
      <c r="A16" s="8" t="s">
        <v>7</v>
      </c>
      <c r="B16" s="5" t="s">
        <v>73</v>
      </c>
    </row>
    <row r="17" spans="1:2" x14ac:dyDescent="0.2">
      <c r="A17" s="8" t="s">
        <v>8</v>
      </c>
      <c r="B17" s="5" t="s">
        <v>74</v>
      </c>
    </row>
    <row r="18" spans="1:2" x14ac:dyDescent="0.2">
      <c r="A18" s="8" t="s">
        <v>9</v>
      </c>
      <c r="B18" s="5" t="s">
        <v>75</v>
      </c>
    </row>
    <row r="19" spans="1:2" x14ac:dyDescent="0.2">
      <c r="A19" s="8" t="s">
        <v>10</v>
      </c>
      <c r="B19" s="5" t="s">
        <v>76</v>
      </c>
    </row>
    <row r="20" spans="1:2" x14ac:dyDescent="0.2">
      <c r="A20" s="5"/>
      <c r="B20" s="5"/>
    </row>
    <row r="21" spans="1:2" ht="18" x14ac:dyDescent="0.2">
      <c r="A21" s="7" t="s">
        <v>77</v>
      </c>
      <c r="B21" s="5"/>
    </row>
    <row r="22" spans="1:2" x14ac:dyDescent="0.2">
      <c r="A22" s="8" t="s">
        <v>78</v>
      </c>
      <c r="B22" s="5" t="s">
        <v>79</v>
      </c>
    </row>
    <row r="23" spans="1:2" x14ac:dyDescent="0.2">
      <c r="A23" s="8" t="s">
        <v>80</v>
      </c>
      <c r="B23" s="5" t="s">
        <v>81</v>
      </c>
    </row>
    <row r="24" spans="1:2" x14ac:dyDescent="0.2">
      <c r="A24" s="8" t="s">
        <v>82</v>
      </c>
      <c r="B24" s="5" t="s">
        <v>83</v>
      </c>
    </row>
    <row r="25" spans="1:2" x14ac:dyDescent="0.2">
      <c r="A25" s="5"/>
      <c r="B25" s="5"/>
    </row>
    <row r="26" spans="1:2" ht="18" x14ac:dyDescent="0.2">
      <c r="A26" s="7" t="s">
        <v>84</v>
      </c>
      <c r="B26" s="5"/>
    </row>
    <row r="27" spans="1:2" x14ac:dyDescent="0.2">
      <c r="A27" s="9">
        <v>1</v>
      </c>
      <c r="B27" s="5" t="s">
        <v>85</v>
      </c>
    </row>
    <row r="28" spans="1:2" x14ac:dyDescent="0.2">
      <c r="A28" s="9">
        <v>2</v>
      </c>
      <c r="B28" s="5" t="s">
        <v>86</v>
      </c>
    </row>
    <row r="29" spans="1:2" x14ac:dyDescent="0.2">
      <c r="A29" s="9">
        <v>3</v>
      </c>
      <c r="B29" s="5" t="s">
        <v>87</v>
      </c>
    </row>
    <row r="30" spans="1:2" x14ac:dyDescent="0.2">
      <c r="A30" s="9">
        <v>4</v>
      </c>
      <c r="B30" s="5" t="s">
        <v>88</v>
      </c>
    </row>
    <row r="31" spans="1:2" x14ac:dyDescent="0.2">
      <c r="A31" s="9">
        <v>5</v>
      </c>
      <c r="B31" s="5" t="s">
        <v>89</v>
      </c>
    </row>
    <row r="32" spans="1:2" x14ac:dyDescent="0.2">
      <c r="A32" s="5">
        <v>6</v>
      </c>
      <c r="B32" s="5" t="s">
        <v>90</v>
      </c>
    </row>
    <row r="33" spans="1:2" x14ac:dyDescent="0.2">
      <c r="A33" s="5"/>
      <c r="B33" s="5"/>
    </row>
    <row r="34" spans="1:2" ht="18" x14ac:dyDescent="0.2">
      <c r="A34" s="7" t="s">
        <v>91</v>
      </c>
      <c r="B34" s="5"/>
    </row>
    <row r="35" spans="1:2" x14ac:dyDescent="0.2">
      <c r="A35" s="10" t="s">
        <v>92</v>
      </c>
      <c r="B35" s="10"/>
    </row>
    <row r="36" spans="1:2" x14ac:dyDescent="0.2">
      <c r="A36" s="10" t="s">
        <v>93</v>
      </c>
      <c r="B36" s="10"/>
    </row>
    <row r="38" spans="1:2" ht="18" x14ac:dyDescent="0.2">
      <c r="A38" s="7" t="s">
        <v>120</v>
      </c>
      <c r="B38" s="5"/>
    </row>
    <row r="39" spans="1:2" ht="34" x14ac:dyDescent="0.2">
      <c r="A39" s="5" t="s">
        <v>121</v>
      </c>
      <c r="B39" s="20" t="s">
        <v>122</v>
      </c>
    </row>
    <row r="40" spans="1:2" ht="51" x14ac:dyDescent="0.2">
      <c r="A40" s="8" t="s">
        <v>123</v>
      </c>
      <c r="B40" s="20" t="s">
        <v>124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299F-8C3F-2248-B50F-4048BEFEA7EB}">
  <dimension ref="A1:K289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9.1640625" bestFit="1" customWidth="1"/>
    <col min="2" max="2" width="15.5" bestFit="1" customWidth="1"/>
    <col min="3" max="3" width="12" bestFit="1" customWidth="1"/>
    <col min="4" max="4" width="22.1640625" bestFit="1" customWidth="1"/>
    <col min="5" max="5" width="14.6640625" bestFit="1" customWidth="1"/>
    <col min="6" max="6" width="15.6640625" bestFit="1" customWidth="1"/>
    <col min="7" max="7" width="11.1640625" bestFit="1" customWidth="1"/>
    <col min="8" max="8" width="14.1640625" bestFit="1" customWidth="1"/>
    <col min="9" max="9" width="15.5" bestFit="1" customWidth="1"/>
    <col min="10" max="10" width="17" bestFit="1" customWidth="1"/>
    <col min="11" max="11" width="12.3320312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1">
        <v>45658</v>
      </c>
      <c r="B2" t="s">
        <v>11</v>
      </c>
      <c r="C2" t="s">
        <v>12</v>
      </c>
      <c r="D2" t="s">
        <v>13</v>
      </c>
      <c r="E2" s="1">
        <v>141</v>
      </c>
      <c r="F2" s="1">
        <v>141</v>
      </c>
      <c r="G2" s="1">
        <v>0</v>
      </c>
      <c r="H2" s="1">
        <v>0</v>
      </c>
      <c r="I2" s="1">
        <v>0</v>
      </c>
      <c r="J2" t="s">
        <v>14</v>
      </c>
      <c r="K2" s="12">
        <f>IFERROR(H2/E2,0)</f>
        <v>0</v>
      </c>
    </row>
    <row r="3" spans="1:11" x14ac:dyDescent="0.2">
      <c r="A3" s="11">
        <v>45658</v>
      </c>
      <c r="B3" t="s">
        <v>15</v>
      </c>
      <c r="C3" t="s">
        <v>12</v>
      </c>
      <c r="D3" t="s">
        <v>16</v>
      </c>
      <c r="E3" s="1">
        <v>158</v>
      </c>
      <c r="F3" s="1">
        <v>158</v>
      </c>
      <c r="G3" s="1">
        <v>0</v>
      </c>
      <c r="H3" s="1">
        <v>0</v>
      </c>
      <c r="I3" s="1">
        <v>0</v>
      </c>
      <c r="J3" t="s">
        <v>14</v>
      </c>
      <c r="K3" s="12">
        <f t="shared" ref="K3:K66" si="0">IFERROR(H3/E3,0)</f>
        <v>0</v>
      </c>
    </row>
    <row r="4" spans="1:11" x14ac:dyDescent="0.2">
      <c r="A4" s="11">
        <v>45658</v>
      </c>
      <c r="B4" t="s">
        <v>17</v>
      </c>
      <c r="C4" t="s">
        <v>12</v>
      </c>
      <c r="D4" t="s">
        <v>13</v>
      </c>
      <c r="E4" s="1">
        <v>106</v>
      </c>
      <c r="F4" s="1">
        <v>101</v>
      </c>
      <c r="G4" s="1">
        <v>0</v>
      </c>
      <c r="H4" s="1">
        <v>5</v>
      </c>
      <c r="I4" s="1">
        <v>1</v>
      </c>
      <c r="J4" t="s">
        <v>18</v>
      </c>
      <c r="K4" s="12">
        <f t="shared" si="0"/>
        <v>4.716981132075472E-2</v>
      </c>
    </row>
    <row r="5" spans="1:11" x14ac:dyDescent="0.2">
      <c r="A5" s="11">
        <v>45658</v>
      </c>
      <c r="B5" t="s">
        <v>19</v>
      </c>
      <c r="C5" t="s">
        <v>12</v>
      </c>
      <c r="D5" t="s">
        <v>16</v>
      </c>
      <c r="E5" s="1">
        <v>158</v>
      </c>
      <c r="F5" s="1">
        <v>158</v>
      </c>
      <c r="G5" s="1">
        <v>0</v>
      </c>
      <c r="H5" s="1">
        <v>0</v>
      </c>
      <c r="I5" s="1">
        <v>0</v>
      </c>
      <c r="J5" t="s">
        <v>14</v>
      </c>
      <c r="K5" s="12">
        <f t="shared" si="0"/>
        <v>0</v>
      </c>
    </row>
    <row r="6" spans="1:11" x14ac:dyDescent="0.2">
      <c r="A6" s="11">
        <v>45658</v>
      </c>
      <c r="B6" t="s">
        <v>20</v>
      </c>
      <c r="C6" t="s">
        <v>12</v>
      </c>
      <c r="D6" t="s">
        <v>21</v>
      </c>
      <c r="E6" s="1">
        <v>123</v>
      </c>
      <c r="F6" s="1">
        <v>132</v>
      </c>
      <c r="G6" s="1">
        <v>9</v>
      </c>
      <c r="H6" s="1">
        <v>0</v>
      </c>
      <c r="I6" s="1">
        <v>0</v>
      </c>
      <c r="J6" t="s">
        <v>14</v>
      </c>
      <c r="K6" s="12">
        <f t="shared" si="0"/>
        <v>0</v>
      </c>
    </row>
    <row r="7" spans="1:11" x14ac:dyDescent="0.2">
      <c r="A7" s="11">
        <v>45658</v>
      </c>
      <c r="B7" t="s">
        <v>22</v>
      </c>
      <c r="C7" t="s">
        <v>12</v>
      </c>
      <c r="D7" t="s">
        <v>23</v>
      </c>
      <c r="E7" s="1">
        <v>158</v>
      </c>
      <c r="F7" s="1">
        <v>165</v>
      </c>
      <c r="G7" s="1">
        <v>7</v>
      </c>
      <c r="H7" s="1">
        <v>0</v>
      </c>
      <c r="I7" s="1">
        <v>0</v>
      </c>
      <c r="J7" t="s">
        <v>14</v>
      </c>
      <c r="K7" s="12">
        <f t="shared" si="0"/>
        <v>0</v>
      </c>
    </row>
    <row r="8" spans="1:11" x14ac:dyDescent="0.2">
      <c r="A8" s="11">
        <v>45658</v>
      </c>
      <c r="B8" t="s">
        <v>24</v>
      </c>
      <c r="C8" t="s">
        <v>25</v>
      </c>
      <c r="D8" t="s">
        <v>26</v>
      </c>
      <c r="E8" s="1">
        <v>167</v>
      </c>
      <c r="F8" s="1">
        <v>167</v>
      </c>
      <c r="G8" s="1">
        <v>0</v>
      </c>
      <c r="H8" s="1">
        <v>0</v>
      </c>
      <c r="I8" s="1">
        <v>0</v>
      </c>
      <c r="J8" t="s">
        <v>14</v>
      </c>
      <c r="K8" s="12">
        <f t="shared" si="0"/>
        <v>0</v>
      </c>
    </row>
    <row r="9" spans="1:11" x14ac:dyDescent="0.2">
      <c r="A9" s="11">
        <v>45658</v>
      </c>
      <c r="B9" t="s">
        <v>27</v>
      </c>
      <c r="C9" t="s">
        <v>25</v>
      </c>
      <c r="D9" t="s">
        <v>28</v>
      </c>
      <c r="E9" s="1">
        <v>88</v>
      </c>
      <c r="F9" s="1">
        <v>80</v>
      </c>
      <c r="G9" s="1">
        <v>0</v>
      </c>
      <c r="H9" s="1">
        <v>8</v>
      </c>
      <c r="I9" s="1">
        <v>2</v>
      </c>
      <c r="J9" t="s">
        <v>18</v>
      </c>
      <c r="K9" s="12">
        <f t="shared" si="0"/>
        <v>9.0909090909090912E-2</v>
      </c>
    </row>
    <row r="10" spans="1:11" x14ac:dyDescent="0.2">
      <c r="A10" s="11">
        <v>45658</v>
      </c>
      <c r="B10" t="s">
        <v>29</v>
      </c>
      <c r="C10" t="s">
        <v>25</v>
      </c>
      <c r="D10" t="s">
        <v>30</v>
      </c>
      <c r="E10" s="1">
        <v>141</v>
      </c>
      <c r="F10" s="1">
        <v>128</v>
      </c>
      <c r="G10" s="1">
        <v>0</v>
      </c>
      <c r="H10" s="1">
        <v>13</v>
      </c>
      <c r="I10" s="1">
        <v>2</v>
      </c>
      <c r="J10" t="s">
        <v>18</v>
      </c>
      <c r="K10" s="12">
        <f t="shared" si="0"/>
        <v>9.2198581560283682E-2</v>
      </c>
    </row>
    <row r="11" spans="1:11" x14ac:dyDescent="0.2">
      <c r="A11" s="11">
        <v>45658</v>
      </c>
      <c r="B11" t="s">
        <v>31</v>
      </c>
      <c r="C11" t="s">
        <v>25</v>
      </c>
      <c r="D11" t="s">
        <v>26</v>
      </c>
      <c r="E11" s="1">
        <v>167</v>
      </c>
      <c r="F11" s="1">
        <v>152</v>
      </c>
      <c r="G11" s="1">
        <v>0</v>
      </c>
      <c r="H11" s="1">
        <v>15</v>
      </c>
      <c r="I11" s="1">
        <v>2</v>
      </c>
      <c r="J11" t="s">
        <v>18</v>
      </c>
      <c r="K11" s="12">
        <f t="shared" si="0"/>
        <v>8.9820359281437126E-2</v>
      </c>
    </row>
    <row r="12" spans="1:11" x14ac:dyDescent="0.2">
      <c r="A12" s="11">
        <v>45658</v>
      </c>
      <c r="B12" t="s">
        <v>32</v>
      </c>
      <c r="C12" t="s">
        <v>33</v>
      </c>
      <c r="D12" t="s">
        <v>34</v>
      </c>
      <c r="E12" s="1">
        <v>141</v>
      </c>
      <c r="F12" s="1">
        <v>128</v>
      </c>
      <c r="G12" s="1">
        <v>0</v>
      </c>
      <c r="H12" s="1">
        <v>13</v>
      </c>
      <c r="I12" s="1">
        <v>2</v>
      </c>
      <c r="J12" t="s">
        <v>18</v>
      </c>
      <c r="K12" s="12">
        <f t="shared" si="0"/>
        <v>9.2198581560283682E-2</v>
      </c>
    </row>
    <row r="13" spans="1:11" x14ac:dyDescent="0.2">
      <c r="A13" s="11">
        <v>45658</v>
      </c>
      <c r="B13" t="s">
        <v>35</v>
      </c>
      <c r="C13" t="s">
        <v>33</v>
      </c>
      <c r="D13" t="s">
        <v>34</v>
      </c>
      <c r="E13" s="1">
        <v>158</v>
      </c>
      <c r="F13" s="1">
        <v>165</v>
      </c>
      <c r="G13" s="1">
        <v>7</v>
      </c>
      <c r="H13" s="1">
        <v>0</v>
      </c>
      <c r="I13" s="1">
        <v>0</v>
      </c>
      <c r="J13" t="s">
        <v>14</v>
      </c>
      <c r="K13" s="12">
        <f t="shared" si="0"/>
        <v>0</v>
      </c>
    </row>
    <row r="14" spans="1:11" x14ac:dyDescent="0.2">
      <c r="A14" s="11">
        <v>45658</v>
      </c>
      <c r="B14" t="s">
        <v>36</v>
      </c>
      <c r="C14" t="s">
        <v>33</v>
      </c>
      <c r="D14" t="s">
        <v>34</v>
      </c>
      <c r="E14" s="1">
        <v>106</v>
      </c>
      <c r="F14" s="1">
        <v>106</v>
      </c>
      <c r="G14" s="1">
        <v>0</v>
      </c>
      <c r="H14" s="1">
        <v>0</v>
      </c>
      <c r="I14" s="1">
        <v>0</v>
      </c>
      <c r="J14" t="s">
        <v>14</v>
      </c>
      <c r="K14" s="12">
        <f t="shared" si="0"/>
        <v>0</v>
      </c>
    </row>
    <row r="15" spans="1:11" x14ac:dyDescent="0.2">
      <c r="A15" s="11">
        <v>45658</v>
      </c>
      <c r="B15" t="s">
        <v>37</v>
      </c>
      <c r="C15" t="s">
        <v>33</v>
      </c>
      <c r="D15" t="s">
        <v>23</v>
      </c>
      <c r="E15" s="1">
        <v>158</v>
      </c>
      <c r="F15" s="1">
        <v>102</v>
      </c>
      <c r="G15" s="1">
        <v>9</v>
      </c>
      <c r="H15" s="1">
        <v>65</v>
      </c>
      <c r="I15" s="1">
        <v>9</v>
      </c>
      <c r="J15" t="s">
        <v>38</v>
      </c>
      <c r="K15" s="12">
        <f t="shared" si="0"/>
        <v>0.41139240506329117</v>
      </c>
    </row>
    <row r="16" spans="1:11" x14ac:dyDescent="0.2">
      <c r="A16" s="11">
        <v>45658</v>
      </c>
      <c r="B16" t="s">
        <v>39</v>
      </c>
      <c r="C16" t="s">
        <v>33</v>
      </c>
      <c r="D16" t="s">
        <v>34</v>
      </c>
      <c r="E16" s="1">
        <v>123</v>
      </c>
      <c r="F16" s="1">
        <v>123</v>
      </c>
      <c r="G16" s="1">
        <v>0</v>
      </c>
      <c r="H16" s="1">
        <v>0</v>
      </c>
      <c r="I16" s="1">
        <v>0</v>
      </c>
      <c r="J16" t="s">
        <v>14</v>
      </c>
      <c r="K16" s="12">
        <f t="shared" si="0"/>
        <v>0</v>
      </c>
    </row>
    <row r="17" spans="1:11" x14ac:dyDescent="0.2">
      <c r="A17" s="11">
        <v>45658</v>
      </c>
      <c r="B17" t="s">
        <v>40</v>
      </c>
      <c r="C17" t="s">
        <v>41</v>
      </c>
      <c r="D17" t="s">
        <v>42</v>
      </c>
      <c r="E17" s="1">
        <v>158</v>
      </c>
      <c r="F17" s="1">
        <v>144</v>
      </c>
      <c r="G17" s="1">
        <v>0</v>
      </c>
      <c r="H17" s="1">
        <v>14</v>
      </c>
      <c r="I17" s="1">
        <v>2</v>
      </c>
      <c r="J17" t="s">
        <v>18</v>
      </c>
      <c r="K17" s="12">
        <f t="shared" si="0"/>
        <v>8.8607594936708861E-2</v>
      </c>
    </row>
    <row r="18" spans="1:11" x14ac:dyDescent="0.2">
      <c r="A18" s="11">
        <v>45658</v>
      </c>
      <c r="B18" t="s">
        <v>43</v>
      </c>
      <c r="C18" t="s">
        <v>41</v>
      </c>
      <c r="D18" t="s">
        <v>44</v>
      </c>
      <c r="E18" s="1">
        <v>141</v>
      </c>
      <c r="F18" s="1">
        <v>135</v>
      </c>
      <c r="G18" s="1">
        <v>0</v>
      </c>
      <c r="H18" s="1">
        <v>6</v>
      </c>
      <c r="I18" s="1">
        <v>1</v>
      </c>
      <c r="J18" t="s">
        <v>18</v>
      </c>
      <c r="K18" s="12">
        <f t="shared" si="0"/>
        <v>4.2553191489361701E-2</v>
      </c>
    </row>
    <row r="19" spans="1:11" x14ac:dyDescent="0.2">
      <c r="A19" s="11">
        <v>45658</v>
      </c>
      <c r="B19" t="s">
        <v>45</v>
      </c>
      <c r="C19" t="s">
        <v>41</v>
      </c>
      <c r="D19" t="s">
        <v>46</v>
      </c>
      <c r="E19" s="1">
        <v>106</v>
      </c>
      <c r="F19" s="1">
        <v>106</v>
      </c>
      <c r="G19" s="1">
        <v>0</v>
      </c>
      <c r="H19" s="1">
        <v>0</v>
      </c>
      <c r="I19" s="1">
        <v>0</v>
      </c>
      <c r="J19" t="s">
        <v>14</v>
      </c>
      <c r="K19" s="12">
        <f t="shared" si="0"/>
        <v>0</v>
      </c>
    </row>
    <row r="20" spans="1:11" x14ac:dyDescent="0.2">
      <c r="A20" s="11">
        <v>45658</v>
      </c>
      <c r="B20" t="s">
        <v>47</v>
      </c>
      <c r="C20" t="s">
        <v>41</v>
      </c>
      <c r="D20" t="s">
        <v>48</v>
      </c>
      <c r="E20" s="1">
        <v>141</v>
      </c>
      <c r="F20" s="1">
        <v>148</v>
      </c>
      <c r="G20" s="1">
        <v>7</v>
      </c>
      <c r="H20" s="1">
        <v>0</v>
      </c>
      <c r="I20" s="1">
        <v>0</v>
      </c>
      <c r="J20" t="s">
        <v>14</v>
      </c>
      <c r="K20" s="12">
        <f t="shared" si="0"/>
        <v>0</v>
      </c>
    </row>
    <row r="21" spans="1:11" x14ac:dyDescent="0.2">
      <c r="A21" s="11">
        <v>45658</v>
      </c>
      <c r="B21" t="s">
        <v>49</v>
      </c>
      <c r="C21" t="s">
        <v>50</v>
      </c>
      <c r="D21" t="s">
        <v>51</v>
      </c>
      <c r="E21" s="1">
        <v>167</v>
      </c>
      <c r="F21" s="1">
        <v>167</v>
      </c>
      <c r="G21" s="1">
        <v>0</v>
      </c>
      <c r="H21" s="1">
        <v>0</v>
      </c>
      <c r="I21" s="1">
        <v>0</v>
      </c>
      <c r="J21" t="s">
        <v>14</v>
      </c>
      <c r="K21" s="12">
        <f t="shared" si="0"/>
        <v>0</v>
      </c>
    </row>
    <row r="22" spans="1:11" x14ac:dyDescent="0.2">
      <c r="A22" s="11">
        <v>45658</v>
      </c>
      <c r="B22" t="s">
        <v>52</v>
      </c>
      <c r="C22" t="s">
        <v>50</v>
      </c>
      <c r="D22" t="s">
        <v>53</v>
      </c>
      <c r="E22" s="1">
        <v>158</v>
      </c>
      <c r="F22" s="1">
        <v>160</v>
      </c>
      <c r="G22" s="1">
        <v>2</v>
      </c>
      <c r="H22" s="1">
        <v>0</v>
      </c>
      <c r="I22" s="1">
        <v>0</v>
      </c>
      <c r="J22" t="s">
        <v>14</v>
      </c>
      <c r="K22" s="12">
        <f t="shared" si="0"/>
        <v>0</v>
      </c>
    </row>
    <row r="23" spans="1:11" x14ac:dyDescent="0.2">
      <c r="A23" s="11">
        <v>45658</v>
      </c>
      <c r="B23" t="s">
        <v>54</v>
      </c>
      <c r="C23" t="s">
        <v>50</v>
      </c>
      <c r="D23" t="s">
        <v>55</v>
      </c>
      <c r="E23" s="1">
        <v>141</v>
      </c>
      <c r="F23" s="1">
        <v>142</v>
      </c>
      <c r="G23" s="1">
        <v>1</v>
      </c>
      <c r="H23" s="1">
        <v>0</v>
      </c>
      <c r="I23" s="1">
        <v>0</v>
      </c>
      <c r="J23" t="s">
        <v>14</v>
      </c>
      <c r="K23" s="12">
        <f t="shared" si="0"/>
        <v>0</v>
      </c>
    </row>
    <row r="24" spans="1:11" x14ac:dyDescent="0.2">
      <c r="A24" s="11">
        <v>45658</v>
      </c>
      <c r="B24" t="s">
        <v>56</v>
      </c>
      <c r="C24" t="s">
        <v>50</v>
      </c>
      <c r="D24" t="s">
        <v>57</v>
      </c>
      <c r="E24" s="1">
        <v>158</v>
      </c>
      <c r="F24" s="1">
        <v>166</v>
      </c>
      <c r="G24" s="1">
        <v>8</v>
      </c>
      <c r="H24" s="1">
        <v>0</v>
      </c>
      <c r="I24" s="1">
        <v>0</v>
      </c>
      <c r="J24" t="s">
        <v>14</v>
      </c>
      <c r="K24" s="12">
        <f t="shared" si="0"/>
        <v>0</v>
      </c>
    </row>
    <row r="25" spans="1:11" x14ac:dyDescent="0.2">
      <c r="A25" s="11">
        <v>45658</v>
      </c>
      <c r="B25" t="s">
        <v>58</v>
      </c>
      <c r="C25" t="s">
        <v>50</v>
      </c>
      <c r="D25" t="s">
        <v>23</v>
      </c>
      <c r="E25" s="1">
        <v>158</v>
      </c>
      <c r="F25" s="1">
        <v>164</v>
      </c>
      <c r="G25" s="1">
        <v>6</v>
      </c>
      <c r="H25" s="1">
        <v>0</v>
      </c>
      <c r="I25" s="1">
        <v>0</v>
      </c>
      <c r="J25" t="s">
        <v>14</v>
      </c>
      <c r="K25" s="12">
        <f t="shared" si="0"/>
        <v>0</v>
      </c>
    </row>
    <row r="26" spans="1:11" x14ac:dyDescent="0.2">
      <c r="A26" s="11">
        <v>45689</v>
      </c>
      <c r="B26" t="s">
        <v>11</v>
      </c>
      <c r="C26" t="s">
        <v>12</v>
      </c>
      <c r="D26" t="s">
        <v>13</v>
      </c>
      <c r="E26" s="1">
        <v>128</v>
      </c>
      <c r="F26" s="1">
        <v>131</v>
      </c>
      <c r="G26" s="1">
        <v>9</v>
      </c>
      <c r="H26" s="1">
        <v>6</v>
      </c>
      <c r="I26" s="1">
        <v>1</v>
      </c>
      <c r="J26" t="s">
        <v>18</v>
      </c>
      <c r="K26" s="12">
        <f t="shared" si="0"/>
        <v>4.6875E-2</v>
      </c>
    </row>
    <row r="27" spans="1:11" x14ac:dyDescent="0.2">
      <c r="A27" s="11">
        <v>45689</v>
      </c>
      <c r="B27" t="s">
        <v>15</v>
      </c>
      <c r="C27" t="s">
        <v>12</v>
      </c>
      <c r="D27" t="s">
        <v>16</v>
      </c>
      <c r="E27" s="1">
        <v>144</v>
      </c>
      <c r="F27" s="1">
        <v>137</v>
      </c>
      <c r="G27" s="1">
        <v>0</v>
      </c>
      <c r="H27" s="1">
        <v>7</v>
      </c>
      <c r="I27" s="1">
        <v>1</v>
      </c>
      <c r="J27" t="s">
        <v>18</v>
      </c>
      <c r="K27" s="12">
        <f t="shared" si="0"/>
        <v>4.8611111111111112E-2</v>
      </c>
    </row>
    <row r="28" spans="1:11" x14ac:dyDescent="0.2">
      <c r="A28" s="11">
        <v>45689</v>
      </c>
      <c r="B28" t="s">
        <v>17</v>
      </c>
      <c r="C28" t="s">
        <v>12</v>
      </c>
      <c r="D28" t="s">
        <v>13</v>
      </c>
      <c r="E28" s="1">
        <v>96</v>
      </c>
      <c r="F28" s="1">
        <v>97</v>
      </c>
      <c r="G28" s="1">
        <v>1</v>
      </c>
      <c r="H28" s="1">
        <v>0</v>
      </c>
      <c r="I28" s="1">
        <v>0</v>
      </c>
      <c r="J28" t="s">
        <v>14</v>
      </c>
      <c r="K28" s="12">
        <f t="shared" si="0"/>
        <v>0</v>
      </c>
    </row>
    <row r="29" spans="1:11" x14ac:dyDescent="0.2">
      <c r="A29" s="11">
        <v>45689</v>
      </c>
      <c r="B29" t="s">
        <v>19</v>
      </c>
      <c r="C29" t="s">
        <v>12</v>
      </c>
      <c r="D29" t="s">
        <v>16</v>
      </c>
      <c r="E29" s="1">
        <v>144</v>
      </c>
      <c r="F29" s="1">
        <v>137</v>
      </c>
      <c r="G29" s="1">
        <v>0</v>
      </c>
      <c r="H29" s="1">
        <v>7</v>
      </c>
      <c r="I29" s="1">
        <v>1</v>
      </c>
      <c r="J29" t="s">
        <v>18</v>
      </c>
      <c r="K29" s="12">
        <f t="shared" si="0"/>
        <v>4.8611111111111112E-2</v>
      </c>
    </row>
    <row r="30" spans="1:11" x14ac:dyDescent="0.2">
      <c r="A30" s="11">
        <v>45689</v>
      </c>
      <c r="B30" t="s">
        <v>20</v>
      </c>
      <c r="C30" t="s">
        <v>12</v>
      </c>
      <c r="D30" t="s">
        <v>21</v>
      </c>
      <c r="E30" s="1">
        <v>112</v>
      </c>
      <c r="F30" s="1">
        <v>95</v>
      </c>
      <c r="G30" s="1">
        <v>0</v>
      </c>
      <c r="H30" s="1">
        <v>17</v>
      </c>
      <c r="I30" s="1">
        <v>3</v>
      </c>
      <c r="J30" t="s">
        <v>18</v>
      </c>
      <c r="K30" s="12">
        <f t="shared" si="0"/>
        <v>0.15178571428571427</v>
      </c>
    </row>
    <row r="31" spans="1:11" x14ac:dyDescent="0.2">
      <c r="A31" s="11">
        <v>45689</v>
      </c>
      <c r="B31" t="s">
        <v>22</v>
      </c>
      <c r="C31" t="s">
        <v>12</v>
      </c>
      <c r="D31" t="s">
        <v>23</v>
      </c>
      <c r="E31" s="1">
        <v>144</v>
      </c>
      <c r="F31" s="1">
        <v>130</v>
      </c>
      <c r="G31" s="1">
        <v>0</v>
      </c>
      <c r="H31" s="1">
        <v>14</v>
      </c>
      <c r="I31" s="1">
        <v>2</v>
      </c>
      <c r="J31" t="s">
        <v>18</v>
      </c>
      <c r="K31" s="12">
        <f t="shared" si="0"/>
        <v>9.7222222222222224E-2</v>
      </c>
    </row>
    <row r="32" spans="1:11" x14ac:dyDescent="0.2">
      <c r="A32" s="11">
        <v>45689</v>
      </c>
      <c r="B32" t="s">
        <v>24</v>
      </c>
      <c r="C32" t="s">
        <v>25</v>
      </c>
      <c r="D32" t="s">
        <v>26</v>
      </c>
      <c r="E32" s="1">
        <v>152</v>
      </c>
      <c r="F32" s="1">
        <v>162</v>
      </c>
      <c r="G32" s="1">
        <v>10</v>
      </c>
      <c r="H32" s="1">
        <v>0</v>
      </c>
      <c r="I32" s="1">
        <v>0</v>
      </c>
      <c r="J32" t="s">
        <v>14</v>
      </c>
      <c r="K32" s="12">
        <f t="shared" si="0"/>
        <v>0</v>
      </c>
    </row>
    <row r="33" spans="1:11" x14ac:dyDescent="0.2">
      <c r="A33" s="11">
        <v>45689</v>
      </c>
      <c r="B33" t="s">
        <v>27</v>
      </c>
      <c r="C33" t="s">
        <v>25</v>
      </c>
      <c r="D33" t="s">
        <v>28</v>
      </c>
      <c r="E33" s="1">
        <v>80</v>
      </c>
      <c r="F33" s="1">
        <v>72</v>
      </c>
      <c r="G33" s="1">
        <v>0</v>
      </c>
      <c r="H33" s="1">
        <v>8</v>
      </c>
      <c r="I33" s="1">
        <v>2</v>
      </c>
      <c r="J33" t="s">
        <v>18</v>
      </c>
      <c r="K33" s="12">
        <f t="shared" si="0"/>
        <v>0.1</v>
      </c>
    </row>
    <row r="34" spans="1:11" x14ac:dyDescent="0.2">
      <c r="A34" s="11">
        <v>45689</v>
      </c>
      <c r="B34" t="s">
        <v>29</v>
      </c>
      <c r="C34" t="s">
        <v>25</v>
      </c>
      <c r="D34" t="s">
        <v>30</v>
      </c>
      <c r="E34" s="1">
        <v>128</v>
      </c>
      <c r="F34" s="1">
        <v>128</v>
      </c>
      <c r="G34" s="1">
        <v>0</v>
      </c>
      <c r="H34" s="1">
        <v>0</v>
      </c>
      <c r="I34" s="1">
        <v>0</v>
      </c>
      <c r="J34" t="s">
        <v>14</v>
      </c>
      <c r="K34" s="12">
        <f t="shared" si="0"/>
        <v>0</v>
      </c>
    </row>
    <row r="35" spans="1:11" x14ac:dyDescent="0.2">
      <c r="A35" s="11">
        <v>45689</v>
      </c>
      <c r="B35" t="s">
        <v>31</v>
      </c>
      <c r="C35" t="s">
        <v>25</v>
      </c>
      <c r="D35" t="s">
        <v>26</v>
      </c>
      <c r="E35" s="1">
        <v>152</v>
      </c>
      <c r="F35" s="1">
        <v>144</v>
      </c>
      <c r="G35" s="1">
        <v>0</v>
      </c>
      <c r="H35" s="1">
        <v>8</v>
      </c>
      <c r="I35" s="1">
        <v>1</v>
      </c>
      <c r="J35" t="s">
        <v>18</v>
      </c>
      <c r="K35" s="12">
        <f t="shared" si="0"/>
        <v>5.2631578947368418E-2</v>
      </c>
    </row>
    <row r="36" spans="1:11" x14ac:dyDescent="0.2">
      <c r="A36" s="11">
        <v>45689</v>
      </c>
      <c r="B36" t="s">
        <v>32</v>
      </c>
      <c r="C36" t="s">
        <v>33</v>
      </c>
      <c r="D36" t="s">
        <v>34</v>
      </c>
      <c r="E36" s="1">
        <v>128</v>
      </c>
      <c r="F36" s="1">
        <v>128</v>
      </c>
      <c r="G36" s="1">
        <v>0</v>
      </c>
      <c r="H36" s="1">
        <v>0</v>
      </c>
      <c r="I36" s="1">
        <v>0</v>
      </c>
      <c r="J36" t="s">
        <v>14</v>
      </c>
      <c r="K36" s="12">
        <f t="shared" si="0"/>
        <v>0</v>
      </c>
    </row>
    <row r="37" spans="1:11" x14ac:dyDescent="0.2">
      <c r="A37" s="11">
        <v>45689</v>
      </c>
      <c r="B37" t="s">
        <v>35</v>
      </c>
      <c r="C37" t="s">
        <v>33</v>
      </c>
      <c r="D37" t="s">
        <v>34</v>
      </c>
      <c r="E37" s="1">
        <v>144</v>
      </c>
      <c r="F37" s="1">
        <v>147</v>
      </c>
      <c r="G37" s="1">
        <v>3</v>
      </c>
      <c r="H37" s="1">
        <v>0</v>
      </c>
      <c r="I37" s="1">
        <v>0</v>
      </c>
      <c r="J37" t="s">
        <v>14</v>
      </c>
      <c r="K37" s="12">
        <f t="shared" si="0"/>
        <v>0</v>
      </c>
    </row>
    <row r="38" spans="1:11" x14ac:dyDescent="0.2">
      <c r="A38" s="11">
        <v>45689</v>
      </c>
      <c r="B38" t="s">
        <v>36</v>
      </c>
      <c r="C38" t="s">
        <v>33</v>
      </c>
      <c r="D38" t="s">
        <v>34</v>
      </c>
      <c r="E38" s="1">
        <v>96</v>
      </c>
      <c r="F38" s="1">
        <v>58</v>
      </c>
      <c r="G38" s="1">
        <v>0</v>
      </c>
      <c r="H38" s="1">
        <v>38</v>
      </c>
      <c r="I38" s="1">
        <v>8</v>
      </c>
      <c r="J38" t="s">
        <v>38</v>
      </c>
      <c r="K38" s="12">
        <f t="shared" si="0"/>
        <v>0.39583333333333331</v>
      </c>
    </row>
    <row r="39" spans="1:11" x14ac:dyDescent="0.2">
      <c r="A39" s="11">
        <v>45689</v>
      </c>
      <c r="B39" t="s">
        <v>37</v>
      </c>
      <c r="C39" t="s">
        <v>33</v>
      </c>
      <c r="D39" t="s">
        <v>23</v>
      </c>
      <c r="E39" s="1">
        <v>144</v>
      </c>
      <c r="F39" s="1">
        <v>147</v>
      </c>
      <c r="G39" s="1">
        <v>3</v>
      </c>
      <c r="H39" s="1">
        <v>0</v>
      </c>
      <c r="I39" s="1">
        <v>0</v>
      </c>
      <c r="J39" t="s">
        <v>14</v>
      </c>
      <c r="K39" s="12">
        <f t="shared" si="0"/>
        <v>0</v>
      </c>
    </row>
    <row r="40" spans="1:11" x14ac:dyDescent="0.2">
      <c r="A40" s="11">
        <v>45689</v>
      </c>
      <c r="B40" t="s">
        <v>39</v>
      </c>
      <c r="C40" t="s">
        <v>33</v>
      </c>
      <c r="D40" t="s">
        <v>34</v>
      </c>
      <c r="E40" s="1">
        <v>112</v>
      </c>
      <c r="F40" s="1">
        <v>117</v>
      </c>
      <c r="G40" s="1">
        <v>5</v>
      </c>
      <c r="H40" s="1">
        <v>0</v>
      </c>
      <c r="I40" s="1">
        <v>0</v>
      </c>
      <c r="J40" t="s">
        <v>14</v>
      </c>
      <c r="K40" s="12">
        <f t="shared" si="0"/>
        <v>0</v>
      </c>
    </row>
    <row r="41" spans="1:11" x14ac:dyDescent="0.2">
      <c r="A41" s="11">
        <v>45689</v>
      </c>
      <c r="B41" t="s">
        <v>40</v>
      </c>
      <c r="C41" t="s">
        <v>41</v>
      </c>
      <c r="D41" t="s">
        <v>42</v>
      </c>
      <c r="E41" s="1">
        <v>144</v>
      </c>
      <c r="F41" s="1">
        <v>144</v>
      </c>
      <c r="G41" s="1">
        <v>0</v>
      </c>
      <c r="H41" s="1">
        <v>0</v>
      </c>
      <c r="I41" s="1">
        <v>0</v>
      </c>
      <c r="J41" t="s">
        <v>14</v>
      </c>
      <c r="K41" s="12">
        <f t="shared" si="0"/>
        <v>0</v>
      </c>
    </row>
    <row r="42" spans="1:11" x14ac:dyDescent="0.2">
      <c r="A42" s="11">
        <v>45689</v>
      </c>
      <c r="B42" t="s">
        <v>43</v>
      </c>
      <c r="C42" t="s">
        <v>41</v>
      </c>
      <c r="D42" t="s">
        <v>44</v>
      </c>
      <c r="E42" s="1">
        <v>128</v>
      </c>
      <c r="F42" s="1">
        <v>128</v>
      </c>
      <c r="G42" s="1">
        <v>0</v>
      </c>
      <c r="H42" s="1">
        <v>0</v>
      </c>
      <c r="I42" s="1">
        <v>0</v>
      </c>
      <c r="J42" t="s">
        <v>14</v>
      </c>
      <c r="K42" s="12">
        <f t="shared" si="0"/>
        <v>0</v>
      </c>
    </row>
    <row r="43" spans="1:11" x14ac:dyDescent="0.2">
      <c r="A43" s="11">
        <v>45689</v>
      </c>
      <c r="B43" t="s">
        <v>45</v>
      </c>
      <c r="C43" t="s">
        <v>41</v>
      </c>
      <c r="D43" t="s">
        <v>46</v>
      </c>
      <c r="E43" s="1">
        <v>96</v>
      </c>
      <c r="F43" s="1">
        <v>0</v>
      </c>
      <c r="G43" s="1">
        <v>0</v>
      </c>
      <c r="H43" s="1">
        <v>96</v>
      </c>
      <c r="I43" s="1">
        <v>20</v>
      </c>
      <c r="J43" t="s">
        <v>59</v>
      </c>
      <c r="K43" s="12">
        <f t="shared" si="0"/>
        <v>1</v>
      </c>
    </row>
    <row r="44" spans="1:11" x14ac:dyDescent="0.2">
      <c r="A44" s="11">
        <v>45689</v>
      </c>
      <c r="B44" t="s">
        <v>47</v>
      </c>
      <c r="C44" t="s">
        <v>41</v>
      </c>
      <c r="D44" t="s">
        <v>48</v>
      </c>
      <c r="E44" s="1">
        <v>128</v>
      </c>
      <c r="F44" s="1">
        <v>77</v>
      </c>
      <c r="G44" s="1">
        <v>0</v>
      </c>
      <c r="H44" s="1">
        <v>51</v>
      </c>
      <c r="I44" s="1">
        <v>8</v>
      </c>
      <c r="J44" t="s">
        <v>38</v>
      </c>
      <c r="K44" s="12">
        <f t="shared" si="0"/>
        <v>0.3984375</v>
      </c>
    </row>
    <row r="45" spans="1:11" x14ac:dyDescent="0.2">
      <c r="A45" s="11">
        <v>45689</v>
      </c>
      <c r="B45" t="s">
        <v>49</v>
      </c>
      <c r="C45" t="s">
        <v>50</v>
      </c>
      <c r="D45" t="s">
        <v>51</v>
      </c>
      <c r="E45" s="1">
        <v>152</v>
      </c>
      <c r="F45" s="1">
        <v>152</v>
      </c>
      <c r="G45" s="1">
        <v>0</v>
      </c>
      <c r="H45" s="1">
        <v>0</v>
      </c>
      <c r="I45" s="1">
        <v>0</v>
      </c>
      <c r="J45" t="s">
        <v>14</v>
      </c>
      <c r="K45" s="12">
        <f t="shared" si="0"/>
        <v>0</v>
      </c>
    </row>
    <row r="46" spans="1:11" x14ac:dyDescent="0.2">
      <c r="A46" s="11">
        <v>45689</v>
      </c>
      <c r="B46" t="s">
        <v>52</v>
      </c>
      <c r="C46" t="s">
        <v>50</v>
      </c>
      <c r="D46" t="s">
        <v>53</v>
      </c>
      <c r="E46" s="1">
        <v>144</v>
      </c>
      <c r="F46" s="1">
        <v>144</v>
      </c>
      <c r="G46" s="1">
        <v>0</v>
      </c>
      <c r="H46" s="1">
        <v>0</v>
      </c>
      <c r="I46" s="1">
        <v>0</v>
      </c>
      <c r="J46" t="s">
        <v>14</v>
      </c>
      <c r="K46" s="12">
        <f t="shared" si="0"/>
        <v>0</v>
      </c>
    </row>
    <row r="47" spans="1:11" x14ac:dyDescent="0.2">
      <c r="A47" s="11">
        <v>45689</v>
      </c>
      <c r="B47" t="s">
        <v>54</v>
      </c>
      <c r="C47" t="s">
        <v>50</v>
      </c>
      <c r="D47" t="s">
        <v>55</v>
      </c>
      <c r="E47" s="1">
        <v>128</v>
      </c>
      <c r="F47" s="1">
        <v>133</v>
      </c>
      <c r="G47" s="1">
        <v>5</v>
      </c>
      <c r="H47" s="1">
        <v>0</v>
      </c>
      <c r="I47" s="1">
        <v>0</v>
      </c>
      <c r="J47" t="s">
        <v>14</v>
      </c>
      <c r="K47" s="12">
        <f t="shared" si="0"/>
        <v>0</v>
      </c>
    </row>
    <row r="48" spans="1:11" x14ac:dyDescent="0.2">
      <c r="A48" s="11">
        <v>45689</v>
      </c>
      <c r="B48" t="s">
        <v>56</v>
      </c>
      <c r="C48" t="s">
        <v>50</v>
      </c>
      <c r="D48" t="s">
        <v>57</v>
      </c>
      <c r="E48" s="1">
        <v>144</v>
      </c>
      <c r="F48" s="1">
        <v>144</v>
      </c>
      <c r="G48" s="1">
        <v>0</v>
      </c>
      <c r="H48" s="1">
        <v>0</v>
      </c>
      <c r="I48" s="1">
        <v>0</v>
      </c>
      <c r="J48" t="s">
        <v>14</v>
      </c>
      <c r="K48" s="12">
        <f t="shared" si="0"/>
        <v>0</v>
      </c>
    </row>
    <row r="49" spans="1:11" x14ac:dyDescent="0.2">
      <c r="A49" s="11">
        <v>45689</v>
      </c>
      <c r="B49" t="s">
        <v>58</v>
      </c>
      <c r="C49" t="s">
        <v>50</v>
      </c>
      <c r="D49" t="s">
        <v>23</v>
      </c>
      <c r="E49" s="1">
        <v>144</v>
      </c>
      <c r="F49" s="1">
        <v>144</v>
      </c>
      <c r="G49" s="1">
        <v>0</v>
      </c>
      <c r="H49" s="1">
        <v>0</v>
      </c>
      <c r="I49" s="1">
        <v>0</v>
      </c>
      <c r="J49" t="s">
        <v>14</v>
      </c>
      <c r="K49" s="12">
        <f t="shared" si="0"/>
        <v>0</v>
      </c>
    </row>
    <row r="50" spans="1:11" x14ac:dyDescent="0.2">
      <c r="A50" s="11">
        <v>45717</v>
      </c>
      <c r="B50" t="s">
        <v>11</v>
      </c>
      <c r="C50" t="s">
        <v>12</v>
      </c>
      <c r="D50" t="s">
        <v>13</v>
      </c>
      <c r="E50" s="1">
        <v>141</v>
      </c>
      <c r="F50" s="1">
        <v>147</v>
      </c>
      <c r="G50" s="1">
        <v>6</v>
      </c>
      <c r="H50" s="1">
        <v>0</v>
      </c>
      <c r="I50" s="1">
        <v>0</v>
      </c>
      <c r="J50" t="s">
        <v>14</v>
      </c>
      <c r="K50" s="12">
        <f t="shared" si="0"/>
        <v>0</v>
      </c>
    </row>
    <row r="51" spans="1:11" x14ac:dyDescent="0.2">
      <c r="A51" s="11">
        <v>45717</v>
      </c>
      <c r="B51" t="s">
        <v>15</v>
      </c>
      <c r="C51" t="s">
        <v>12</v>
      </c>
      <c r="D51" t="s">
        <v>16</v>
      </c>
      <c r="E51" s="1">
        <v>158</v>
      </c>
      <c r="F51" s="1">
        <v>158</v>
      </c>
      <c r="G51" s="1">
        <v>0</v>
      </c>
      <c r="H51" s="1">
        <v>0</v>
      </c>
      <c r="I51" s="1">
        <v>0</v>
      </c>
      <c r="J51" t="s">
        <v>14</v>
      </c>
      <c r="K51" s="12">
        <f t="shared" si="0"/>
        <v>0</v>
      </c>
    </row>
    <row r="52" spans="1:11" x14ac:dyDescent="0.2">
      <c r="A52" s="11">
        <v>45717</v>
      </c>
      <c r="B52" t="s">
        <v>17</v>
      </c>
      <c r="C52" t="s">
        <v>12</v>
      </c>
      <c r="D52" t="s">
        <v>13</v>
      </c>
      <c r="E52" s="1">
        <v>106</v>
      </c>
      <c r="F52" s="1">
        <v>101</v>
      </c>
      <c r="G52" s="1">
        <v>0</v>
      </c>
      <c r="H52" s="1">
        <v>5</v>
      </c>
      <c r="I52" s="1">
        <v>1</v>
      </c>
      <c r="J52" t="s">
        <v>18</v>
      </c>
      <c r="K52" s="12">
        <f t="shared" si="0"/>
        <v>4.716981132075472E-2</v>
      </c>
    </row>
    <row r="53" spans="1:11" x14ac:dyDescent="0.2">
      <c r="A53" s="11">
        <v>45717</v>
      </c>
      <c r="B53" t="s">
        <v>19</v>
      </c>
      <c r="C53" t="s">
        <v>12</v>
      </c>
      <c r="D53" t="s">
        <v>16</v>
      </c>
      <c r="E53" s="1">
        <v>158</v>
      </c>
      <c r="F53" s="1">
        <v>144</v>
      </c>
      <c r="G53" s="1">
        <v>0</v>
      </c>
      <c r="H53" s="1">
        <v>14</v>
      </c>
      <c r="I53" s="1">
        <v>2</v>
      </c>
      <c r="J53" t="s">
        <v>18</v>
      </c>
      <c r="K53" s="12">
        <f t="shared" si="0"/>
        <v>8.8607594936708861E-2</v>
      </c>
    </row>
    <row r="54" spans="1:11" x14ac:dyDescent="0.2">
      <c r="A54" s="11">
        <v>45717</v>
      </c>
      <c r="B54" t="s">
        <v>20</v>
      </c>
      <c r="C54" t="s">
        <v>12</v>
      </c>
      <c r="D54" t="s">
        <v>21</v>
      </c>
      <c r="E54" s="1">
        <v>123</v>
      </c>
      <c r="F54" s="1">
        <v>123</v>
      </c>
      <c r="G54" s="1">
        <v>0</v>
      </c>
      <c r="H54" s="1">
        <v>0</v>
      </c>
      <c r="I54" s="1">
        <v>0</v>
      </c>
      <c r="J54" t="s">
        <v>14</v>
      </c>
      <c r="K54" s="12">
        <f t="shared" si="0"/>
        <v>0</v>
      </c>
    </row>
    <row r="55" spans="1:11" x14ac:dyDescent="0.2">
      <c r="A55" s="11">
        <v>45717</v>
      </c>
      <c r="B55" t="s">
        <v>22</v>
      </c>
      <c r="C55" t="s">
        <v>12</v>
      </c>
      <c r="D55" t="s">
        <v>23</v>
      </c>
      <c r="E55" s="1">
        <v>158</v>
      </c>
      <c r="F55" s="1">
        <v>158</v>
      </c>
      <c r="G55" s="1">
        <v>0</v>
      </c>
      <c r="H55" s="1">
        <v>0</v>
      </c>
      <c r="I55" s="1">
        <v>0</v>
      </c>
      <c r="J55" t="s">
        <v>14</v>
      </c>
      <c r="K55" s="12">
        <f t="shared" si="0"/>
        <v>0</v>
      </c>
    </row>
    <row r="56" spans="1:11" x14ac:dyDescent="0.2">
      <c r="A56" s="11">
        <v>45717</v>
      </c>
      <c r="B56" t="s">
        <v>24</v>
      </c>
      <c r="C56" t="s">
        <v>25</v>
      </c>
      <c r="D56" t="s">
        <v>26</v>
      </c>
      <c r="E56" s="1">
        <v>167</v>
      </c>
      <c r="F56" s="1">
        <v>169</v>
      </c>
      <c r="G56" s="1">
        <v>2</v>
      </c>
      <c r="H56" s="1">
        <v>0</v>
      </c>
      <c r="I56" s="1">
        <v>0</v>
      </c>
      <c r="J56" t="s">
        <v>14</v>
      </c>
      <c r="K56" s="12">
        <f t="shared" si="0"/>
        <v>0</v>
      </c>
    </row>
    <row r="57" spans="1:11" x14ac:dyDescent="0.2">
      <c r="A57" s="11">
        <v>45717</v>
      </c>
      <c r="B57" t="s">
        <v>27</v>
      </c>
      <c r="C57" t="s">
        <v>25</v>
      </c>
      <c r="D57" t="s">
        <v>28</v>
      </c>
      <c r="E57" s="1">
        <v>88</v>
      </c>
      <c r="F57" s="1">
        <v>88</v>
      </c>
      <c r="G57" s="1">
        <v>0</v>
      </c>
      <c r="H57" s="1">
        <v>0</v>
      </c>
      <c r="I57" s="1">
        <v>0</v>
      </c>
      <c r="J57" t="s">
        <v>14</v>
      </c>
      <c r="K57" s="12">
        <f t="shared" si="0"/>
        <v>0</v>
      </c>
    </row>
    <row r="58" spans="1:11" x14ac:dyDescent="0.2">
      <c r="A58" s="11">
        <v>45717</v>
      </c>
      <c r="B58" t="s">
        <v>29</v>
      </c>
      <c r="C58" t="s">
        <v>25</v>
      </c>
      <c r="D58" t="s">
        <v>30</v>
      </c>
      <c r="E58" s="1">
        <v>141</v>
      </c>
      <c r="F58" s="1">
        <v>141</v>
      </c>
      <c r="G58" s="1">
        <v>0</v>
      </c>
      <c r="H58" s="1">
        <v>0</v>
      </c>
      <c r="I58" s="1">
        <v>0</v>
      </c>
      <c r="J58" t="s">
        <v>14</v>
      </c>
      <c r="K58" s="12">
        <f t="shared" si="0"/>
        <v>0</v>
      </c>
    </row>
    <row r="59" spans="1:11" x14ac:dyDescent="0.2">
      <c r="A59" s="11">
        <v>45717</v>
      </c>
      <c r="B59" t="s">
        <v>31</v>
      </c>
      <c r="C59" t="s">
        <v>25</v>
      </c>
      <c r="D59" t="s">
        <v>26</v>
      </c>
      <c r="E59" s="1">
        <v>167</v>
      </c>
      <c r="F59" s="1">
        <v>167</v>
      </c>
      <c r="G59" s="1">
        <v>0</v>
      </c>
      <c r="H59" s="1">
        <v>0</v>
      </c>
      <c r="I59" s="1">
        <v>0</v>
      </c>
      <c r="J59" t="s">
        <v>14</v>
      </c>
      <c r="K59" s="12">
        <f t="shared" si="0"/>
        <v>0</v>
      </c>
    </row>
    <row r="60" spans="1:11" x14ac:dyDescent="0.2">
      <c r="A60" s="11">
        <v>45717</v>
      </c>
      <c r="B60" t="s">
        <v>32</v>
      </c>
      <c r="C60" t="s">
        <v>33</v>
      </c>
      <c r="D60" t="s">
        <v>34</v>
      </c>
      <c r="E60" s="1">
        <v>141</v>
      </c>
      <c r="F60" s="1">
        <v>141</v>
      </c>
      <c r="G60" s="1">
        <v>0</v>
      </c>
      <c r="H60" s="1">
        <v>0</v>
      </c>
      <c r="I60" s="1">
        <v>0</v>
      </c>
      <c r="J60" t="s">
        <v>14</v>
      </c>
      <c r="K60" s="12">
        <f t="shared" si="0"/>
        <v>0</v>
      </c>
    </row>
    <row r="61" spans="1:11" x14ac:dyDescent="0.2">
      <c r="A61" s="11">
        <v>45717</v>
      </c>
      <c r="B61" t="s">
        <v>35</v>
      </c>
      <c r="C61" t="s">
        <v>33</v>
      </c>
      <c r="D61" t="s">
        <v>34</v>
      </c>
      <c r="E61" s="1">
        <v>158</v>
      </c>
      <c r="F61" s="1">
        <v>160</v>
      </c>
      <c r="G61" s="1">
        <v>2</v>
      </c>
      <c r="H61" s="1">
        <v>0</v>
      </c>
      <c r="I61" s="1">
        <v>0</v>
      </c>
      <c r="J61" t="s">
        <v>14</v>
      </c>
      <c r="K61" s="12">
        <f t="shared" si="0"/>
        <v>0</v>
      </c>
    </row>
    <row r="62" spans="1:11" x14ac:dyDescent="0.2">
      <c r="A62" s="11">
        <v>45717</v>
      </c>
      <c r="B62" t="s">
        <v>36</v>
      </c>
      <c r="C62" t="s">
        <v>33</v>
      </c>
      <c r="D62" t="s">
        <v>34</v>
      </c>
      <c r="E62" s="1">
        <v>106</v>
      </c>
      <c r="F62" s="1">
        <v>96</v>
      </c>
      <c r="G62" s="1">
        <v>0</v>
      </c>
      <c r="H62" s="1">
        <v>10</v>
      </c>
      <c r="I62" s="1">
        <v>2</v>
      </c>
      <c r="J62" t="s">
        <v>18</v>
      </c>
      <c r="K62" s="12">
        <f t="shared" si="0"/>
        <v>9.4339622641509441E-2</v>
      </c>
    </row>
    <row r="63" spans="1:11" x14ac:dyDescent="0.2">
      <c r="A63" s="11">
        <v>45717</v>
      </c>
      <c r="B63" t="s">
        <v>37</v>
      </c>
      <c r="C63" t="s">
        <v>33</v>
      </c>
      <c r="D63" t="s">
        <v>23</v>
      </c>
      <c r="E63" s="1">
        <v>158</v>
      </c>
      <c r="F63" s="1">
        <v>145</v>
      </c>
      <c r="G63" s="1">
        <v>9</v>
      </c>
      <c r="H63" s="1">
        <v>22</v>
      </c>
      <c r="I63" s="1">
        <v>3</v>
      </c>
      <c r="J63" t="s">
        <v>18</v>
      </c>
      <c r="K63" s="12">
        <f t="shared" si="0"/>
        <v>0.13924050632911392</v>
      </c>
    </row>
    <row r="64" spans="1:11" x14ac:dyDescent="0.2">
      <c r="A64" s="11">
        <v>45717</v>
      </c>
      <c r="B64" t="s">
        <v>39</v>
      </c>
      <c r="C64" t="s">
        <v>33</v>
      </c>
      <c r="D64" t="s">
        <v>34</v>
      </c>
      <c r="E64" s="1">
        <v>123</v>
      </c>
      <c r="F64" s="1">
        <v>124</v>
      </c>
      <c r="G64" s="1">
        <v>1</v>
      </c>
      <c r="H64" s="1">
        <v>0</v>
      </c>
      <c r="I64" s="1">
        <v>0</v>
      </c>
      <c r="J64" t="s">
        <v>14</v>
      </c>
      <c r="K64" s="12">
        <f t="shared" si="0"/>
        <v>0</v>
      </c>
    </row>
    <row r="65" spans="1:11" x14ac:dyDescent="0.2">
      <c r="A65" s="11">
        <v>45717</v>
      </c>
      <c r="B65" t="s">
        <v>40</v>
      </c>
      <c r="C65" t="s">
        <v>41</v>
      </c>
      <c r="D65" t="s">
        <v>42</v>
      </c>
      <c r="E65" s="1">
        <v>158</v>
      </c>
      <c r="F65" s="1">
        <v>158</v>
      </c>
      <c r="G65" s="1">
        <v>0</v>
      </c>
      <c r="H65" s="1">
        <v>0</v>
      </c>
      <c r="I65" s="1">
        <v>0</v>
      </c>
      <c r="J65" t="s">
        <v>14</v>
      </c>
      <c r="K65" s="12">
        <f t="shared" si="0"/>
        <v>0</v>
      </c>
    </row>
    <row r="66" spans="1:11" x14ac:dyDescent="0.2">
      <c r="A66" s="11">
        <v>45717</v>
      </c>
      <c r="B66" t="s">
        <v>43</v>
      </c>
      <c r="C66" t="s">
        <v>41</v>
      </c>
      <c r="D66" t="s">
        <v>44</v>
      </c>
      <c r="E66" s="1">
        <v>141</v>
      </c>
      <c r="F66" s="1">
        <v>150</v>
      </c>
      <c r="G66" s="1">
        <v>9</v>
      </c>
      <c r="H66" s="1">
        <v>0</v>
      </c>
      <c r="I66" s="1">
        <v>0</v>
      </c>
      <c r="J66" t="s">
        <v>14</v>
      </c>
      <c r="K66" s="12">
        <f t="shared" si="0"/>
        <v>0</v>
      </c>
    </row>
    <row r="67" spans="1:11" x14ac:dyDescent="0.2">
      <c r="A67" s="11">
        <v>45717</v>
      </c>
      <c r="B67" t="s">
        <v>45</v>
      </c>
      <c r="C67" t="s">
        <v>41</v>
      </c>
      <c r="D67" t="s">
        <v>46</v>
      </c>
      <c r="E67" s="1">
        <v>106</v>
      </c>
      <c r="F67" s="1">
        <v>109</v>
      </c>
      <c r="G67" s="1">
        <v>3</v>
      </c>
      <c r="H67" s="1">
        <v>0</v>
      </c>
      <c r="I67" s="1">
        <v>0</v>
      </c>
      <c r="J67" t="s">
        <v>14</v>
      </c>
      <c r="K67" s="12">
        <f t="shared" ref="K67:K130" si="1">IFERROR(H67/E67,0)</f>
        <v>0</v>
      </c>
    </row>
    <row r="68" spans="1:11" x14ac:dyDescent="0.2">
      <c r="A68" s="11">
        <v>45717</v>
      </c>
      <c r="B68" t="s">
        <v>47</v>
      </c>
      <c r="C68" t="s">
        <v>41</v>
      </c>
      <c r="D68" t="s">
        <v>48</v>
      </c>
      <c r="E68" s="1">
        <v>141</v>
      </c>
      <c r="F68" s="1">
        <v>141</v>
      </c>
      <c r="G68" s="1">
        <v>0</v>
      </c>
      <c r="H68" s="1">
        <v>0</v>
      </c>
      <c r="I68" s="1">
        <v>0</v>
      </c>
      <c r="J68" t="s">
        <v>14</v>
      </c>
      <c r="K68" s="12">
        <f t="shared" si="1"/>
        <v>0</v>
      </c>
    </row>
    <row r="69" spans="1:11" x14ac:dyDescent="0.2">
      <c r="A69" s="11">
        <v>45717</v>
      </c>
      <c r="B69" t="s">
        <v>49</v>
      </c>
      <c r="C69" t="s">
        <v>50</v>
      </c>
      <c r="D69" t="s">
        <v>51</v>
      </c>
      <c r="E69" s="1">
        <v>167</v>
      </c>
      <c r="F69" s="1">
        <v>176</v>
      </c>
      <c r="G69" s="1">
        <v>9</v>
      </c>
      <c r="H69" s="1">
        <v>0</v>
      </c>
      <c r="I69" s="1">
        <v>0</v>
      </c>
      <c r="J69" t="s">
        <v>14</v>
      </c>
      <c r="K69" s="12">
        <f t="shared" si="1"/>
        <v>0</v>
      </c>
    </row>
    <row r="70" spans="1:11" x14ac:dyDescent="0.2">
      <c r="A70" s="11">
        <v>45717</v>
      </c>
      <c r="B70" t="s">
        <v>52</v>
      </c>
      <c r="C70" t="s">
        <v>50</v>
      </c>
      <c r="D70" t="s">
        <v>53</v>
      </c>
      <c r="E70" s="1">
        <v>158</v>
      </c>
      <c r="F70" s="1">
        <v>158</v>
      </c>
      <c r="G70" s="1">
        <v>0</v>
      </c>
      <c r="H70" s="1">
        <v>0</v>
      </c>
      <c r="I70" s="1">
        <v>0</v>
      </c>
      <c r="J70" t="s">
        <v>14</v>
      </c>
      <c r="K70" s="12">
        <f t="shared" si="1"/>
        <v>0</v>
      </c>
    </row>
    <row r="71" spans="1:11" x14ac:dyDescent="0.2">
      <c r="A71" s="11">
        <v>45717</v>
      </c>
      <c r="B71" t="s">
        <v>54</v>
      </c>
      <c r="C71" t="s">
        <v>50</v>
      </c>
      <c r="D71" t="s">
        <v>55</v>
      </c>
      <c r="E71" s="1">
        <v>141</v>
      </c>
      <c r="F71" s="1">
        <v>145</v>
      </c>
      <c r="G71" s="1">
        <v>4</v>
      </c>
      <c r="H71" s="1">
        <v>0</v>
      </c>
      <c r="I71" s="1">
        <v>0</v>
      </c>
      <c r="J71" t="s">
        <v>14</v>
      </c>
      <c r="K71" s="12">
        <f t="shared" si="1"/>
        <v>0</v>
      </c>
    </row>
    <row r="72" spans="1:11" x14ac:dyDescent="0.2">
      <c r="A72" s="11">
        <v>45717</v>
      </c>
      <c r="B72" t="s">
        <v>56</v>
      </c>
      <c r="C72" t="s">
        <v>50</v>
      </c>
      <c r="D72" t="s">
        <v>57</v>
      </c>
      <c r="E72" s="1">
        <v>158</v>
      </c>
      <c r="F72" s="1">
        <v>158</v>
      </c>
      <c r="G72" s="1">
        <v>0</v>
      </c>
      <c r="H72" s="1">
        <v>0</v>
      </c>
      <c r="I72" s="1">
        <v>0</v>
      </c>
      <c r="J72" t="s">
        <v>14</v>
      </c>
      <c r="K72" s="12">
        <f t="shared" si="1"/>
        <v>0</v>
      </c>
    </row>
    <row r="73" spans="1:11" x14ac:dyDescent="0.2">
      <c r="A73" s="11">
        <v>45717</v>
      </c>
      <c r="B73" t="s">
        <v>58</v>
      </c>
      <c r="C73" t="s">
        <v>50</v>
      </c>
      <c r="D73" t="s">
        <v>23</v>
      </c>
      <c r="E73" s="1">
        <v>158</v>
      </c>
      <c r="F73" s="1">
        <v>158</v>
      </c>
      <c r="G73" s="1">
        <v>0</v>
      </c>
      <c r="H73" s="1">
        <v>0</v>
      </c>
      <c r="I73" s="1">
        <v>0</v>
      </c>
      <c r="J73" t="s">
        <v>14</v>
      </c>
      <c r="K73" s="12">
        <f t="shared" si="1"/>
        <v>0</v>
      </c>
    </row>
    <row r="74" spans="1:11" x14ac:dyDescent="0.2">
      <c r="A74" s="11">
        <v>45748</v>
      </c>
      <c r="B74" t="s">
        <v>11</v>
      </c>
      <c r="C74" t="s">
        <v>12</v>
      </c>
      <c r="D74" t="s">
        <v>13</v>
      </c>
      <c r="E74" s="1">
        <v>128</v>
      </c>
      <c r="F74" s="1">
        <v>128</v>
      </c>
      <c r="G74" s="1">
        <v>0</v>
      </c>
      <c r="H74" s="1">
        <v>0</v>
      </c>
      <c r="I74" s="1">
        <v>0</v>
      </c>
      <c r="J74" t="s">
        <v>14</v>
      </c>
      <c r="K74" s="12">
        <f t="shared" si="1"/>
        <v>0</v>
      </c>
    </row>
    <row r="75" spans="1:11" x14ac:dyDescent="0.2">
      <c r="A75" s="11">
        <v>45748</v>
      </c>
      <c r="B75" t="s">
        <v>15</v>
      </c>
      <c r="C75" t="s">
        <v>12</v>
      </c>
      <c r="D75" t="s">
        <v>16</v>
      </c>
      <c r="E75" s="1">
        <v>144</v>
      </c>
      <c r="F75" s="1">
        <v>147</v>
      </c>
      <c r="G75" s="1">
        <v>3</v>
      </c>
      <c r="H75" s="1">
        <v>0</v>
      </c>
      <c r="I75" s="1">
        <v>0</v>
      </c>
      <c r="J75" t="s">
        <v>14</v>
      </c>
      <c r="K75" s="12">
        <f t="shared" si="1"/>
        <v>0</v>
      </c>
    </row>
    <row r="76" spans="1:11" x14ac:dyDescent="0.2">
      <c r="A76" s="11">
        <v>45748</v>
      </c>
      <c r="B76" t="s">
        <v>17</v>
      </c>
      <c r="C76" t="s">
        <v>12</v>
      </c>
      <c r="D76" t="s">
        <v>13</v>
      </c>
      <c r="E76" s="1">
        <v>96</v>
      </c>
      <c r="F76" s="1">
        <v>92</v>
      </c>
      <c r="G76" s="1">
        <v>6</v>
      </c>
      <c r="H76" s="1">
        <v>10</v>
      </c>
      <c r="I76" s="1">
        <v>2</v>
      </c>
      <c r="J76" t="s">
        <v>18</v>
      </c>
      <c r="K76" s="12">
        <f t="shared" si="1"/>
        <v>0.10416666666666667</v>
      </c>
    </row>
    <row r="77" spans="1:11" x14ac:dyDescent="0.2">
      <c r="A77" s="11">
        <v>45748</v>
      </c>
      <c r="B77" t="s">
        <v>19</v>
      </c>
      <c r="C77" t="s">
        <v>12</v>
      </c>
      <c r="D77" t="s">
        <v>16</v>
      </c>
      <c r="E77" s="1">
        <v>144</v>
      </c>
      <c r="F77" s="1">
        <v>150</v>
      </c>
      <c r="G77" s="1">
        <v>6</v>
      </c>
      <c r="H77" s="1">
        <v>0</v>
      </c>
      <c r="I77" s="1">
        <v>0</v>
      </c>
      <c r="J77" t="s">
        <v>14</v>
      </c>
      <c r="K77" s="12">
        <f t="shared" si="1"/>
        <v>0</v>
      </c>
    </row>
    <row r="78" spans="1:11" x14ac:dyDescent="0.2">
      <c r="A78" s="11">
        <v>45748</v>
      </c>
      <c r="B78" t="s">
        <v>20</v>
      </c>
      <c r="C78" t="s">
        <v>12</v>
      </c>
      <c r="D78" t="s">
        <v>21</v>
      </c>
      <c r="E78" s="1">
        <v>112</v>
      </c>
      <c r="F78" s="1">
        <v>112</v>
      </c>
      <c r="G78" s="1">
        <v>0</v>
      </c>
      <c r="H78" s="1">
        <v>0</v>
      </c>
      <c r="I78" s="1">
        <v>0</v>
      </c>
      <c r="J78" t="s">
        <v>14</v>
      </c>
      <c r="K78" s="12">
        <f t="shared" si="1"/>
        <v>0</v>
      </c>
    </row>
    <row r="79" spans="1:11" x14ac:dyDescent="0.2">
      <c r="A79" s="11">
        <v>45748</v>
      </c>
      <c r="B79" t="s">
        <v>22</v>
      </c>
      <c r="C79" t="s">
        <v>12</v>
      </c>
      <c r="D79" t="s">
        <v>23</v>
      </c>
      <c r="E79" s="1">
        <v>144</v>
      </c>
      <c r="F79" s="1">
        <v>144</v>
      </c>
      <c r="G79" s="1">
        <v>0</v>
      </c>
      <c r="H79" s="1">
        <v>0</v>
      </c>
      <c r="I79" s="1">
        <v>0</v>
      </c>
      <c r="J79" t="s">
        <v>14</v>
      </c>
      <c r="K79" s="12">
        <f t="shared" si="1"/>
        <v>0</v>
      </c>
    </row>
    <row r="80" spans="1:11" x14ac:dyDescent="0.2">
      <c r="A80" s="11">
        <v>45748</v>
      </c>
      <c r="B80" t="s">
        <v>24</v>
      </c>
      <c r="C80" t="s">
        <v>25</v>
      </c>
      <c r="D80" t="s">
        <v>26</v>
      </c>
      <c r="E80" s="1">
        <v>152</v>
      </c>
      <c r="F80" s="1">
        <v>152</v>
      </c>
      <c r="G80" s="1">
        <v>0</v>
      </c>
      <c r="H80" s="1">
        <v>0</v>
      </c>
      <c r="I80" s="1">
        <v>0</v>
      </c>
      <c r="J80" t="s">
        <v>14</v>
      </c>
      <c r="K80" s="12">
        <f t="shared" si="1"/>
        <v>0</v>
      </c>
    </row>
    <row r="81" spans="1:11" x14ac:dyDescent="0.2">
      <c r="A81" s="11">
        <v>45748</v>
      </c>
      <c r="B81" t="s">
        <v>27</v>
      </c>
      <c r="C81" t="s">
        <v>25</v>
      </c>
      <c r="D81" t="s">
        <v>28</v>
      </c>
      <c r="E81" s="1">
        <v>80</v>
      </c>
      <c r="F81" s="1">
        <v>80</v>
      </c>
      <c r="G81" s="1">
        <v>0</v>
      </c>
      <c r="H81" s="1">
        <v>0</v>
      </c>
      <c r="I81" s="1">
        <v>0</v>
      </c>
      <c r="J81" t="s">
        <v>14</v>
      </c>
      <c r="K81" s="12">
        <f t="shared" si="1"/>
        <v>0</v>
      </c>
    </row>
    <row r="82" spans="1:11" x14ac:dyDescent="0.2">
      <c r="A82" s="11">
        <v>45748</v>
      </c>
      <c r="B82" t="s">
        <v>29</v>
      </c>
      <c r="C82" t="s">
        <v>25</v>
      </c>
      <c r="D82" t="s">
        <v>30</v>
      </c>
      <c r="E82" s="1">
        <v>128</v>
      </c>
      <c r="F82" s="1">
        <v>133</v>
      </c>
      <c r="G82" s="1">
        <v>5</v>
      </c>
      <c r="H82" s="1">
        <v>0</v>
      </c>
      <c r="I82" s="1">
        <v>0</v>
      </c>
      <c r="J82" t="s">
        <v>14</v>
      </c>
      <c r="K82" s="12">
        <f t="shared" si="1"/>
        <v>0</v>
      </c>
    </row>
    <row r="83" spans="1:11" x14ac:dyDescent="0.2">
      <c r="A83" s="11">
        <v>45748</v>
      </c>
      <c r="B83" t="s">
        <v>31</v>
      </c>
      <c r="C83" t="s">
        <v>25</v>
      </c>
      <c r="D83" t="s">
        <v>26</v>
      </c>
      <c r="E83" s="1">
        <v>152</v>
      </c>
      <c r="F83" s="1">
        <v>161</v>
      </c>
      <c r="G83" s="1">
        <v>9</v>
      </c>
      <c r="H83" s="1">
        <v>0</v>
      </c>
      <c r="I83" s="1">
        <v>0</v>
      </c>
      <c r="J83" t="s">
        <v>14</v>
      </c>
      <c r="K83" s="12">
        <f t="shared" si="1"/>
        <v>0</v>
      </c>
    </row>
    <row r="84" spans="1:11" x14ac:dyDescent="0.2">
      <c r="A84" s="11">
        <v>45748</v>
      </c>
      <c r="B84" t="s">
        <v>32</v>
      </c>
      <c r="C84" t="s">
        <v>33</v>
      </c>
      <c r="D84" t="s">
        <v>34</v>
      </c>
      <c r="E84" s="1">
        <v>128</v>
      </c>
      <c r="F84" s="1">
        <v>128</v>
      </c>
      <c r="G84" s="1">
        <v>0</v>
      </c>
      <c r="H84" s="1">
        <v>0</v>
      </c>
      <c r="I84" s="1">
        <v>0</v>
      </c>
      <c r="J84" t="s">
        <v>14</v>
      </c>
      <c r="K84" s="12">
        <f t="shared" si="1"/>
        <v>0</v>
      </c>
    </row>
    <row r="85" spans="1:11" x14ac:dyDescent="0.2">
      <c r="A85" s="11">
        <v>45748</v>
      </c>
      <c r="B85" t="s">
        <v>35</v>
      </c>
      <c r="C85" t="s">
        <v>33</v>
      </c>
      <c r="D85" t="s">
        <v>34</v>
      </c>
      <c r="E85" s="1">
        <v>144</v>
      </c>
      <c r="F85" s="1">
        <v>144</v>
      </c>
      <c r="G85" s="1">
        <v>0</v>
      </c>
      <c r="H85" s="1">
        <v>0</v>
      </c>
      <c r="I85" s="1">
        <v>0</v>
      </c>
      <c r="J85" t="s">
        <v>14</v>
      </c>
      <c r="K85" s="12">
        <f t="shared" si="1"/>
        <v>0</v>
      </c>
    </row>
    <row r="86" spans="1:11" x14ac:dyDescent="0.2">
      <c r="A86" s="11">
        <v>45748</v>
      </c>
      <c r="B86" t="s">
        <v>36</v>
      </c>
      <c r="C86" t="s">
        <v>33</v>
      </c>
      <c r="D86" t="s">
        <v>34</v>
      </c>
      <c r="E86" s="1">
        <v>96</v>
      </c>
      <c r="F86" s="1">
        <v>96</v>
      </c>
      <c r="G86" s="1">
        <v>0</v>
      </c>
      <c r="H86" s="1">
        <v>0</v>
      </c>
      <c r="I86" s="1">
        <v>0</v>
      </c>
      <c r="J86" t="s">
        <v>14</v>
      </c>
      <c r="K86" s="12">
        <f t="shared" si="1"/>
        <v>0</v>
      </c>
    </row>
    <row r="87" spans="1:11" x14ac:dyDescent="0.2">
      <c r="A87" s="11">
        <v>45748</v>
      </c>
      <c r="B87" t="s">
        <v>37</v>
      </c>
      <c r="C87" t="s">
        <v>33</v>
      </c>
      <c r="D87" t="s">
        <v>23</v>
      </c>
      <c r="E87" s="1">
        <v>144</v>
      </c>
      <c r="F87" s="1">
        <v>149</v>
      </c>
      <c r="G87" s="1">
        <v>5</v>
      </c>
      <c r="H87" s="1">
        <v>0</v>
      </c>
      <c r="I87" s="1">
        <v>0</v>
      </c>
      <c r="J87" t="s">
        <v>14</v>
      </c>
      <c r="K87" s="12">
        <f t="shared" si="1"/>
        <v>0</v>
      </c>
    </row>
    <row r="88" spans="1:11" x14ac:dyDescent="0.2">
      <c r="A88" s="11">
        <v>45748</v>
      </c>
      <c r="B88" t="s">
        <v>39</v>
      </c>
      <c r="C88" t="s">
        <v>33</v>
      </c>
      <c r="D88" t="s">
        <v>34</v>
      </c>
      <c r="E88" s="1">
        <v>112</v>
      </c>
      <c r="F88" s="1">
        <v>108</v>
      </c>
      <c r="G88" s="1">
        <v>2</v>
      </c>
      <c r="H88" s="1">
        <v>6</v>
      </c>
      <c r="I88" s="1">
        <v>1</v>
      </c>
      <c r="J88" t="s">
        <v>18</v>
      </c>
      <c r="K88" s="12">
        <f t="shared" si="1"/>
        <v>5.3571428571428568E-2</v>
      </c>
    </row>
    <row r="89" spans="1:11" x14ac:dyDescent="0.2">
      <c r="A89" s="11">
        <v>45748</v>
      </c>
      <c r="B89" t="s">
        <v>40</v>
      </c>
      <c r="C89" t="s">
        <v>41</v>
      </c>
      <c r="D89" t="s">
        <v>42</v>
      </c>
      <c r="E89" s="1">
        <v>144</v>
      </c>
      <c r="F89" s="1">
        <v>148</v>
      </c>
      <c r="G89" s="1">
        <v>4</v>
      </c>
      <c r="H89" s="1">
        <v>0</v>
      </c>
      <c r="I89" s="1">
        <v>0</v>
      </c>
      <c r="J89" t="s">
        <v>14</v>
      </c>
      <c r="K89" s="12">
        <f t="shared" si="1"/>
        <v>0</v>
      </c>
    </row>
    <row r="90" spans="1:11" x14ac:dyDescent="0.2">
      <c r="A90" s="11">
        <v>45748</v>
      </c>
      <c r="B90" t="s">
        <v>43</v>
      </c>
      <c r="C90" t="s">
        <v>41</v>
      </c>
      <c r="D90" t="s">
        <v>44</v>
      </c>
      <c r="E90" s="1">
        <v>128</v>
      </c>
      <c r="F90" s="1">
        <v>132</v>
      </c>
      <c r="G90" s="1">
        <v>4</v>
      </c>
      <c r="H90" s="1">
        <v>0</v>
      </c>
      <c r="I90" s="1">
        <v>0</v>
      </c>
      <c r="J90" t="s">
        <v>14</v>
      </c>
      <c r="K90" s="12">
        <f t="shared" si="1"/>
        <v>0</v>
      </c>
    </row>
    <row r="91" spans="1:11" x14ac:dyDescent="0.2">
      <c r="A91" s="11">
        <v>45748</v>
      </c>
      <c r="B91" t="s">
        <v>45</v>
      </c>
      <c r="C91" t="s">
        <v>41</v>
      </c>
      <c r="D91" t="s">
        <v>46</v>
      </c>
      <c r="E91" s="1">
        <v>96</v>
      </c>
      <c r="F91" s="1">
        <v>96</v>
      </c>
      <c r="G91" s="1">
        <v>0</v>
      </c>
      <c r="H91" s="1">
        <v>0</v>
      </c>
      <c r="I91" s="1">
        <v>0</v>
      </c>
      <c r="J91" t="s">
        <v>14</v>
      </c>
      <c r="K91" s="12">
        <f t="shared" si="1"/>
        <v>0</v>
      </c>
    </row>
    <row r="92" spans="1:11" x14ac:dyDescent="0.2">
      <c r="A92" s="11">
        <v>45748</v>
      </c>
      <c r="B92" t="s">
        <v>47</v>
      </c>
      <c r="C92" t="s">
        <v>41</v>
      </c>
      <c r="D92" t="s">
        <v>48</v>
      </c>
      <c r="E92" s="1">
        <v>128</v>
      </c>
      <c r="F92" s="1">
        <v>128</v>
      </c>
      <c r="G92" s="1">
        <v>0</v>
      </c>
      <c r="H92" s="1">
        <v>0</v>
      </c>
      <c r="I92" s="1">
        <v>0</v>
      </c>
      <c r="J92" t="s">
        <v>14</v>
      </c>
      <c r="K92" s="12">
        <f t="shared" si="1"/>
        <v>0</v>
      </c>
    </row>
    <row r="93" spans="1:11" x14ac:dyDescent="0.2">
      <c r="A93" s="11">
        <v>45748</v>
      </c>
      <c r="B93" t="s">
        <v>49</v>
      </c>
      <c r="C93" t="s">
        <v>50</v>
      </c>
      <c r="D93" t="s">
        <v>51</v>
      </c>
      <c r="E93" s="1">
        <v>152</v>
      </c>
      <c r="F93" s="1">
        <v>152</v>
      </c>
      <c r="G93" s="1">
        <v>0</v>
      </c>
      <c r="H93" s="1">
        <v>0</v>
      </c>
      <c r="I93" s="1">
        <v>0</v>
      </c>
      <c r="J93" t="s">
        <v>14</v>
      </c>
      <c r="K93" s="12">
        <f t="shared" si="1"/>
        <v>0</v>
      </c>
    </row>
    <row r="94" spans="1:11" x14ac:dyDescent="0.2">
      <c r="A94" s="11">
        <v>45748</v>
      </c>
      <c r="B94" t="s">
        <v>52</v>
      </c>
      <c r="C94" t="s">
        <v>50</v>
      </c>
      <c r="D94" t="s">
        <v>53</v>
      </c>
      <c r="E94" s="1">
        <v>144</v>
      </c>
      <c r="F94" s="1">
        <v>144</v>
      </c>
      <c r="G94" s="1">
        <v>0</v>
      </c>
      <c r="H94" s="1">
        <v>0</v>
      </c>
      <c r="I94" s="1">
        <v>0</v>
      </c>
      <c r="J94" t="s">
        <v>14</v>
      </c>
      <c r="K94" s="12">
        <f t="shared" si="1"/>
        <v>0</v>
      </c>
    </row>
    <row r="95" spans="1:11" x14ac:dyDescent="0.2">
      <c r="A95" s="11">
        <v>45748</v>
      </c>
      <c r="B95" t="s">
        <v>54</v>
      </c>
      <c r="C95" t="s">
        <v>50</v>
      </c>
      <c r="D95" t="s">
        <v>55</v>
      </c>
      <c r="E95" s="1">
        <v>128</v>
      </c>
      <c r="F95" s="1">
        <v>135</v>
      </c>
      <c r="G95" s="1">
        <v>7</v>
      </c>
      <c r="H95" s="1">
        <v>0</v>
      </c>
      <c r="I95" s="1">
        <v>0</v>
      </c>
      <c r="J95" t="s">
        <v>14</v>
      </c>
      <c r="K95" s="12">
        <f t="shared" si="1"/>
        <v>0</v>
      </c>
    </row>
    <row r="96" spans="1:11" x14ac:dyDescent="0.2">
      <c r="A96" s="11">
        <v>45748</v>
      </c>
      <c r="B96" t="s">
        <v>56</v>
      </c>
      <c r="C96" t="s">
        <v>50</v>
      </c>
      <c r="D96" t="s">
        <v>57</v>
      </c>
      <c r="E96" s="1">
        <v>144</v>
      </c>
      <c r="F96" s="1">
        <v>154</v>
      </c>
      <c r="G96" s="1">
        <v>10</v>
      </c>
      <c r="H96" s="1">
        <v>0</v>
      </c>
      <c r="I96" s="1">
        <v>0</v>
      </c>
      <c r="J96" t="s">
        <v>14</v>
      </c>
      <c r="K96" s="12">
        <f t="shared" si="1"/>
        <v>0</v>
      </c>
    </row>
    <row r="97" spans="1:11" x14ac:dyDescent="0.2">
      <c r="A97" s="11">
        <v>45748</v>
      </c>
      <c r="B97" t="s">
        <v>58</v>
      </c>
      <c r="C97" t="s">
        <v>50</v>
      </c>
      <c r="D97" t="s">
        <v>23</v>
      </c>
      <c r="E97" s="1">
        <v>144</v>
      </c>
      <c r="F97" s="1">
        <v>144</v>
      </c>
      <c r="G97" s="1">
        <v>0</v>
      </c>
      <c r="H97" s="1">
        <v>0</v>
      </c>
      <c r="I97" s="1">
        <v>0</v>
      </c>
      <c r="J97" t="s">
        <v>14</v>
      </c>
      <c r="K97" s="12">
        <f t="shared" si="1"/>
        <v>0</v>
      </c>
    </row>
    <row r="98" spans="1:11" x14ac:dyDescent="0.2">
      <c r="A98" s="11">
        <v>45778</v>
      </c>
      <c r="B98" t="s">
        <v>11</v>
      </c>
      <c r="C98" t="s">
        <v>12</v>
      </c>
      <c r="D98" t="s">
        <v>13</v>
      </c>
      <c r="E98" s="1">
        <v>134</v>
      </c>
      <c r="F98" s="1">
        <v>134</v>
      </c>
      <c r="G98" s="1">
        <v>0</v>
      </c>
      <c r="H98" s="1">
        <v>0</v>
      </c>
      <c r="I98" s="1">
        <v>0</v>
      </c>
      <c r="J98" t="s">
        <v>14</v>
      </c>
      <c r="K98" s="12">
        <f t="shared" si="1"/>
        <v>0</v>
      </c>
    </row>
    <row r="99" spans="1:11" x14ac:dyDescent="0.2">
      <c r="A99" s="11">
        <v>45778</v>
      </c>
      <c r="B99" t="s">
        <v>15</v>
      </c>
      <c r="C99" t="s">
        <v>12</v>
      </c>
      <c r="D99" t="s">
        <v>16</v>
      </c>
      <c r="E99" s="1">
        <v>151</v>
      </c>
      <c r="F99" s="1">
        <v>151</v>
      </c>
      <c r="G99" s="1">
        <v>0</v>
      </c>
      <c r="H99" s="1">
        <v>0</v>
      </c>
      <c r="I99" s="1">
        <v>0</v>
      </c>
      <c r="J99" t="s">
        <v>14</v>
      </c>
      <c r="K99" s="12">
        <f t="shared" si="1"/>
        <v>0</v>
      </c>
    </row>
    <row r="100" spans="1:11" x14ac:dyDescent="0.2">
      <c r="A100" s="11">
        <v>45778</v>
      </c>
      <c r="B100" t="s">
        <v>17</v>
      </c>
      <c r="C100" t="s">
        <v>12</v>
      </c>
      <c r="D100" t="s">
        <v>13</v>
      </c>
      <c r="E100" s="1">
        <v>101</v>
      </c>
      <c r="F100" s="1">
        <v>101</v>
      </c>
      <c r="G100" s="1">
        <v>0</v>
      </c>
      <c r="H100" s="1">
        <v>0</v>
      </c>
      <c r="I100" s="1">
        <v>0</v>
      </c>
      <c r="J100" t="s">
        <v>14</v>
      </c>
      <c r="K100" s="12">
        <f t="shared" si="1"/>
        <v>0</v>
      </c>
    </row>
    <row r="101" spans="1:11" x14ac:dyDescent="0.2">
      <c r="A101" s="11">
        <v>45778</v>
      </c>
      <c r="B101" t="s">
        <v>19</v>
      </c>
      <c r="C101" t="s">
        <v>12</v>
      </c>
      <c r="D101" t="s">
        <v>16</v>
      </c>
      <c r="E101" s="1">
        <v>151</v>
      </c>
      <c r="F101" s="1">
        <v>0</v>
      </c>
      <c r="G101" s="1">
        <v>0</v>
      </c>
      <c r="H101" s="1">
        <v>151</v>
      </c>
      <c r="I101" s="1">
        <v>21</v>
      </c>
      <c r="J101" t="s">
        <v>59</v>
      </c>
      <c r="K101" s="12">
        <f t="shared" si="1"/>
        <v>1</v>
      </c>
    </row>
    <row r="102" spans="1:11" x14ac:dyDescent="0.2">
      <c r="A102" s="11">
        <v>45778</v>
      </c>
      <c r="B102" t="s">
        <v>20</v>
      </c>
      <c r="C102" t="s">
        <v>12</v>
      </c>
      <c r="D102" t="s">
        <v>21</v>
      </c>
      <c r="E102" s="1">
        <v>118</v>
      </c>
      <c r="F102" s="1">
        <v>118</v>
      </c>
      <c r="G102" s="1">
        <v>0</v>
      </c>
      <c r="H102" s="1">
        <v>0</v>
      </c>
      <c r="I102" s="1">
        <v>0</v>
      </c>
      <c r="J102" t="s">
        <v>14</v>
      </c>
      <c r="K102" s="12">
        <f t="shared" si="1"/>
        <v>0</v>
      </c>
    </row>
    <row r="103" spans="1:11" x14ac:dyDescent="0.2">
      <c r="A103" s="11">
        <v>45778</v>
      </c>
      <c r="B103" t="s">
        <v>22</v>
      </c>
      <c r="C103" t="s">
        <v>12</v>
      </c>
      <c r="D103" t="s">
        <v>23</v>
      </c>
      <c r="E103" s="1">
        <v>151</v>
      </c>
      <c r="F103" s="1">
        <v>151</v>
      </c>
      <c r="G103" s="1">
        <v>0</v>
      </c>
      <c r="H103" s="1">
        <v>0</v>
      </c>
      <c r="I103" s="1">
        <v>0</v>
      </c>
      <c r="J103" t="s">
        <v>14</v>
      </c>
      <c r="K103" s="12">
        <f t="shared" si="1"/>
        <v>0</v>
      </c>
    </row>
    <row r="104" spans="1:11" x14ac:dyDescent="0.2">
      <c r="A104" s="11">
        <v>45778</v>
      </c>
      <c r="B104" t="s">
        <v>24</v>
      </c>
      <c r="C104" t="s">
        <v>25</v>
      </c>
      <c r="D104" t="s">
        <v>26</v>
      </c>
      <c r="E104" s="1">
        <v>160</v>
      </c>
      <c r="F104" s="1">
        <v>164</v>
      </c>
      <c r="G104" s="1">
        <v>4</v>
      </c>
      <c r="H104" s="1">
        <v>0</v>
      </c>
      <c r="I104" s="1">
        <v>0</v>
      </c>
      <c r="J104" t="s">
        <v>14</v>
      </c>
      <c r="K104" s="12">
        <f t="shared" si="1"/>
        <v>0</v>
      </c>
    </row>
    <row r="105" spans="1:11" x14ac:dyDescent="0.2">
      <c r="A105" s="11">
        <v>45778</v>
      </c>
      <c r="B105" t="s">
        <v>27</v>
      </c>
      <c r="C105" t="s">
        <v>25</v>
      </c>
      <c r="D105" t="s">
        <v>28</v>
      </c>
      <c r="E105" s="1">
        <v>84</v>
      </c>
      <c r="F105" s="1">
        <v>84</v>
      </c>
      <c r="G105" s="1">
        <v>0</v>
      </c>
      <c r="H105" s="1">
        <v>0</v>
      </c>
      <c r="I105" s="1">
        <v>0</v>
      </c>
      <c r="J105" t="s">
        <v>14</v>
      </c>
      <c r="K105" s="12">
        <f t="shared" si="1"/>
        <v>0</v>
      </c>
    </row>
    <row r="106" spans="1:11" x14ac:dyDescent="0.2">
      <c r="A106" s="11">
        <v>45778</v>
      </c>
      <c r="B106" t="s">
        <v>29</v>
      </c>
      <c r="C106" t="s">
        <v>25</v>
      </c>
      <c r="D106" t="s">
        <v>30</v>
      </c>
      <c r="E106" s="1">
        <v>134</v>
      </c>
      <c r="F106" s="1">
        <v>134</v>
      </c>
      <c r="G106" s="1">
        <v>0</v>
      </c>
      <c r="H106" s="1">
        <v>0</v>
      </c>
      <c r="I106" s="1">
        <v>0</v>
      </c>
      <c r="J106" t="s">
        <v>14</v>
      </c>
      <c r="K106" s="12">
        <f t="shared" si="1"/>
        <v>0</v>
      </c>
    </row>
    <row r="107" spans="1:11" x14ac:dyDescent="0.2">
      <c r="A107" s="11">
        <v>45778</v>
      </c>
      <c r="B107" t="s">
        <v>31</v>
      </c>
      <c r="C107" t="s">
        <v>25</v>
      </c>
      <c r="D107" t="s">
        <v>26</v>
      </c>
      <c r="E107" s="1">
        <v>160</v>
      </c>
      <c r="F107" s="1">
        <v>160</v>
      </c>
      <c r="G107" s="1">
        <v>0</v>
      </c>
      <c r="H107" s="1">
        <v>0</v>
      </c>
      <c r="I107" s="1">
        <v>0</v>
      </c>
      <c r="J107" t="s">
        <v>14</v>
      </c>
      <c r="K107" s="12">
        <f t="shared" si="1"/>
        <v>0</v>
      </c>
    </row>
    <row r="108" spans="1:11" x14ac:dyDescent="0.2">
      <c r="A108" s="11">
        <v>45778</v>
      </c>
      <c r="B108" t="s">
        <v>32</v>
      </c>
      <c r="C108" t="s">
        <v>33</v>
      </c>
      <c r="D108" t="s">
        <v>34</v>
      </c>
      <c r="E108" s="1">
        <v>134</v>
      </c>
      <c r="F108" s="1">
        <v>143</v>
      </c>
      <c r="G108" s="1">
        <v>9</v>
      </c>
      <c r="H108" s="1">
        <v>0</v>
      </c>
      <c r="I108" s="1">
        <v>0</v>
      </c>
      <c r="J108" t="s">
        <v>14</v>
      </c>
      <c r="K108" s="12">
        <f t="shared" si="1"/>
        <v>0</v>
      </c>
    </row>
    <row r="109" spans="1:11" x14ac:dyDescent="0.2">
      <c r="A109" s="11">
        <v>45778</v>
      </c>
      <c r="B109" t="s">
        <v>35</v>
      </c>
      <c r="C109" t="s">
        <v>33</v>
      </c>
      <c r="D109" t="s">
        <v>34</v>
      </c>
      <c r="E109" s="1">
        <v>151</v>
      </c>
      <c r="F109" s="1">
        <v>144</v>
      </c>
      <c r="G109" s="1">
        <v>0</v>
      </c>
      <c r="H109" s="1">
        <v>7</v>
      </c>
      <c r="I109" s="1">
        <v>1</v>
      </c>
      <c r="J109" t="s">
        <v>18</v>
      </c>
      <c r="K109" s="12">
        <f t="shared" si="1"/>
        <v>4.6357615894039736E-2</v>
      </c>
    </row>
    <row r="110" spans="1:11" x14ac:dyDescent="0.2">
      <c r="A110" s="11">
        <v>45778</v>
      </c>
      <c r="B110" t="s">
        <v>36</v>
      </c>
      <c r="C110" t="s">
        <v>33</v>
      </c>
      <c r="D110" t="s">
        <v>34</v>
      </c>
      <c r="E110" s="1">
        <v>101</v>
      </c>
      <c r="F110" s="1">
        <v>106</v>
      </c>
      <c r="G110" s="1">
        <v>5</v>
      </c>
      <c r="H110" s="1">
        <v>0</v>
      </c>
      <c r="I110" s="1">
        <v>0</v>
      </c>
      <c r="J110" t="s">
        <v>14</v>
      </c>
      <c r="K110" s="12">
        <f t="shared" si="1"/>
        <v>0</v>
      </c>
    </row>
    <row r="111" spans="1:11" x14ac:dyDescent="0.2">
      <c r="A111" s="11">
        <v>45778</v>
      </c>
      <c r="B111" t="s">
        <v>37</v>
      </c>
      <c r="C111" t="s">
        <v>33</v>
      </c>
      <c r="D111" t="s">
        <v>23</v>
      </c>
      <c r="E111" s="1">
        <v>151</v>
      </c>
      <c r="F111" s="1">
        <v>157</v>
      </c>
      <c r="G111" s="1">
        <v>6</v>
      </c>
      <c r="H111" s="1">
        <v>0</v>
      </c>
      <c r="I111" s="1">
        <v>0</v>
      </c>
      <c r="J111" t="s">
        <v>14</v>
      </c>
      <c r="K111" s="12">
        <f t="shared" si="1"/>
        <v>0</v>
      </c>
    </row>
    <row r="112" spans="1:11" x14ac:dyDescent="0.2">
      <c r="A112" s="11">
        <v>45778</v>
      </c>
      <c r="B112" t="s">
        <v>39</v>
      </c>
      <c r="C112" t="s">
        <v>33</v>
      </c>
      <c r="D112" t="s">
        <v>34</v>
      </c>
      <c r="E112" s="1">
        <v>118</v>
      </c>
      <c r="F112" s="1">
        <v>126</v>
      </c>
      <c r="G112" s="1">
        <v>8</v>
      </c>
      <c r="H112" s="1">
        <v>0</v>
      </c>
      <c r="I112" s="1">
        <v>0</v>
      </c>
      <c r="J112" t="s">
        <v>14</v>
      </c>
      <c r="K112" s="12">
        <f t="shared" si="1"/>
        <v>0</v>
      </c>
    </row>
    <row r="113" spans="1:11" x14ac:dyDescent="0.2">
      <c r="A113" s="11">
        <v>45778</v>
      </c>
      <c r="B113" t="s">
        <v>40</v>
      </c>
      <c r="C113" t="s">
        <v>41</v>
      </c>
      <c r="D113" t="s">
        <v>42</v>
      </c>
      <c r="E113" s="1">
        <v>151</v>
      </c>
      <c r="F113" s="1">
        <v>151</v>
      </c>
      <c r="G113" s="1">
        <v>0</v>
      </c>
      <c r="H113" s="1">
        <v>0</v>
      </c>
      <c r="I113" s="1">
        <v>0</v>
      </c>
      <c r="J113" t="s">
        <v>14</v>
      </c>
      <c r="K113" s="12">
        <f t="shared" si="1"/>
        <v>0</v>
      </c>
    </row>
    <row r="114" spans="1:11" x14ac:dyDescent="0.2">
      <c r="A114" s="11">
        <v>45778</v>
      </c>
      <c r="B114" t="s">
        <v>43</v>
      </c>
      <c r="C114" t="s">
        <v>41</v>
      </c>
      <c r="D114" t="s">
        <v>44</v>
      </c>
      <c r="E114" s="1">
        <v>134</v>
      </c>
      <c r="F114" s="1">
        <v>134</v>
      </c>
      <c r="G114" s="1">
        <v>0</v>
      </c>
      <c r="H114" s="1">
        <v>0</v>
      </c>
      <c r="I114" s="1">
        <v>0</v>
      </c>
      <c r="J114" t="s">
        <v>14</v>
      </c>
      <c r="K114" s="12">
        <f t="shared" si="1"/>
        <v>0</v>
      </c>
    </row>
    <row r="115" spans="1:11" x14ac:dyDescent="0.2">
      <c r="A115" s="11">
        <v>45778</v>
      </c>
      <c r="B115" t="s">
        <v>45</v>
      </c>
      <c r="C115" t="s">
        <v>41</v>
      </c>
      <c r="D115" t="s">
        <v>46</v>
      </c>
      <c r="E115" s="1">
        <v>101</v>
      </c>
      <c r="F115" s="1">
        <v>101</v>
      </c>
      <c r="G115" s="1">
        <v>0</v>
      </c>
      <c r="H115" s="1">
        <v>0</v>
      </c>
      <c r="I115" s="1">
        <v>0</v>
      </c>
      <c r="J115" t="s">
        <v>14</v>
      </c>
      <c r="K115" s="12">
        <f t="shared" si="1"/>
        <v>0</v>
      </c>
    </row>
    <row r="116" spans="1:11" x14ac:dyDescent="0.2">
      <c r="A116" s="11">
        <v>45778</v>
      </c>
      <c r="B116" t="s">
        <v>47</v>
      </c>
      <c r="C116" t="s">
        <v>41</v>
      </c>
      <c r="D116" t="s">
        <v>48</v>
      </c>
      <c r="E116" s="1">
        <v>134</v>
      </c>
      <c r="F116" s="1">
        <v>86</v>
      </c>
      <c r="G116" s="1">
        <v>3</v>
      </c>
      <c r="H116" s="1">
        <v>51</v>
      </c>
      <c r="I116" s="1">
        <v>8</v>
      </c>
      <c r="J116" t="s">
        <v>38</v>
      </c>
      <c r="K116" s="12">
        <f t="shared" si="1"/>
        <v>0.38059701492537312</v>
      </c>
    </row>
    <row r="117" spans="1:11" x14ac:dyDescent="0.2">
      <c r="A117" s="11">
        <v>45778</v>
      </c>
      <c r="B117" t="s">
        <v>49</v>
      </c>
      <c r="C117" t="s">
        <v>50</v>
      </c>
      <c r="D117" t="s">
        <v>51</v>
      </c>
      <c r="E117" s="1">
        <v>160</v>
      </c>
      <c r="F117" s="1">
        <v>160</v>
      </c>
      <c r="G117" s="1">
        <v>0</v>
      </c>
      <c r="H117" s="1">
        <v>0</v>
      </c>
      <c r="I117" s="1">
        <v>0</v>
      </c>
      <c r="J117" t="s">
        <v>14</v>
      </c>
      <c r="K117" s="12">
        <f t="shared" si="1"/>
        <v>0</v>
      </c>
    </row>
    <row r="118" spans="1:11" x14ac:dyDescent="0.2">
      <c r="A118" s="11">
        <v>45778</v>
      </c>
      <c r="B118" t="s">
        <v>52</v>
      </c>
      <c r="C118" t="s">
        <v>50</v>
      </c>
      <c r="D118" t="s">
        <v>53</v>
      </c>
      <c r="E118" s="1">
        <v>151</v>
      </c>
      <c r="F118" s="1">
        <v>159</v>
      </c>
      <c r="G118" s="1">
        <v>8</v>
      </c>
      <c r="H118" s="1">
        <v>0</v>
      </c>
      <c r="I118" s="1">
        <v>0</v>
      </c>
      <c r="J118" t="s">
        <v>14</v>
      </c>
      <c r="K118" s="12">
        <f t="shared" si="1"/>
        <v>0</v>
      </c>
    </row>
    <row r="119" spans="1:11" x14ac:dyDescent="0.2">
      <c r="A119" s="11">
        <v>45778</v>
      </c>
      <c r="B119" t="s">
        <v>54</v>
      </c>
      <c r="C119" t="s">
        <v>50</v>
      </c>
      <c r="D119" t="s">
        <v>55</v>
      </c>
      <c r="E119" s="1">
        <v>134</v>
      </c>
      <c r="F119" s="1">
        <v>134</v>
      </c>
      <c r="G119" s="1">
        <v>0</v>
      </c>
      <c r="H119" s="1">
        <v>0</v>
      </c>
      <c r="I119" s="1">
        <v>0</v>
      </c>
      <c r="J119" t="s">
        <v>14</v>
      </c>
      <c r="K119" s="12">
        <f t="shared" si="1"/>
        <v>0</v>
      </c>
    </row>
    <row r="120" spans="1:11" x14ac:dyDescent="0.2">
      <c r="A120" s="11">
        <v>45778</v>
      </c>
      <c r="B120" t="s">
        <v>56</v>
      </c>
      <c r="C120" t="s">
        <v>50</v>
      </c>
      <c r="D120" t="s">
        <v>57</v>
      </c>
      <c r="E120" s="1">
        <v>151</v>
      </c>
      <c r="F120" s="1">
        <v>151</v>
      </c>
      <c r="G120" s="1">
        <v>0</v>
      </c>
      <c r="H120" s="1">
        <v>0</v>
      </c>
      <c r="I120" s="1">
        <v>0</v>
      </c>
      <c r="J120" t="s">
        <v>14</v>
      </c>
      <c r="K120" s="12">
        <f t="shared" si="1"/>
        <v>0</v>
      </c>
    </row>
    <row r="121" spans="1:11" x14ac:dyDescent="0.2">
      <c r="A121" s="11">
        <v>45778</v>
      </c>
      <c r="B121" t="s">
        <v>58</v>
      </c>
      <c r="C121" t="s">
        <v>50</v>
      </c>
      <c r="D121" t="s">
        <v>23</v>
      </c>
      <c r="E121" s="1">
        <v>151</v>
      </c>
      <c r="F121" s="1">
        <v>151</v>
      </c>
      <c r="G121" s="1">
        <v>0</v>
      </c>
      <c r="H121" s="1">
        <v>0</v>
      </c>
      <c r="I121" s="1">
        <v>0</v>
      </c>
      <c r="J121" t="s">
        <v>14</v>
      </c>
      <c r="K121" s="12">
        <f t="shared" si="1"/>
        <v>0</v>
      </c>
    </row>
    <row r="122" spans="1:11" x14ac:dyDescent="0.2">
      <c r="A122" s="11">
        <v>45809</v>
      </c>
      <c r="B122" t="s">
        <v>11</v>
      </c>
      <c r="C122" t="s">
        <v>12</v>
      </c>
      <c r="D122" t="s">
        <v>13</v>
      </c>
      <c r="E122" s="1">
        <v>134</v>
      </c>
      <c r="F122" s="1">
        <v>58</v>
      </c>
      <c r="G122" s="1">
        <v>1</v>
      </c>
      <c r="H122" s="1">
        <v>77</v>
      </c>
      <c r="I122" s="1">
        <v>12</v>
      </c>
      <c r="J122" t="s">
        <v>38</v>
      </c>
      <c r="K122" s="12">
        <f t="shared" si="1"/>
        <v>0.57462686567164178</v>
      </c>
    </row>
    <row r="123" spans="1:11" x14ac:dyDescent="0.2">
      <c r="A123" s="11">
        <v>45809</v>
      </c>
      <c r="B123" t="s">
        <v>15</v>
      </c>
      <c r="C123" t="s">
        <v>12</v>
      </c>
      <c r="D123" t="s">
        <v>16</v>
      </c>
      <c r="E123" s="1">
        <v>151</v>
      </c>
      <c r="F123" s="1">
        <v>137</v>
      </c>
      <c r="G123" s="1">
        <v>0</v>
      </c>
      <c r="H123" s="1">
        <v>14</v>
      </c>
      <c r="I123" s="1">
        <v>2</v>
      </c>
      <c r="J123" t="s">
        <v>18</v>
      </c>
      <c r="K123" s="12">
        <f t="shared" si="1"/>
        <v>9.2715231788079472E-2</v>
      </c>
    </row>
    <row r="124" spans="1:11" x14ac:dyDescent="0.2">
      <c r="A124" s="11">
        <v>45809</v>
      </c>
      <c r="B124" t="s">
        <v>17</v>
      </c>
      <c r="C124" t="s">
        <v>12</v>
      </c>
      <c r="D124" t="s">
        <v>13</v>
      </c>
      <c r="E124" s="1">
        <v>101</v>
      </c>
      <c r="F124" s="1">
        <v>111</v>
      </c>
      <c r="G124" s="1">
        <v>10</v>
      </c>
      <c r="H124" s="1">
        <v>0</v>
      </c>
      <c r="I124" s="1">
        <v>0</v>
      </c>
      <c r="J124" t="s">
        <v>14</v>
      </c>
      <c r="K124" s="12">
        <f t="shared" si="1"/>
        <v>0</v>
      </c>
    </row>
    <row r="125" spans="1:11" x14ac:dyDescent="0.2">
      <c r="A125" s="11">
        <v>45809</v>
      </c>
      <c r="B125" t="s">
        <v>19</v>
      </c>
      <c r="C125" t="s">
        <v>12</v>
      </c>
      <c r="D125" t="s">
        <v>16</v>
      </c>
      <c r="E125" s="1">
        <v>151</v>
      </c>
      <c r="F125" s="1">
        <v>151</v>
      </c>
      <c r="G125" s="1">
        <v>0</v>
      </c>
      <c r="H125" s="1">
        <v>0</v>
      </c>
      <c r="I125" s="1">
        <v>0</v>
      </c>
      <c r="J125" t="s">
        <v>14</v>
      </c>
      <c r="K125" s="12">
        <f t="shared" si="1"/>
        <v>0</v>
      </c>
    </row>
    <row r="126" spans="1:11" x14ac:dyDescent="0.2">
      <c r="A126" s="11">
        <v>45809</v>
      </c>
      <c r="B126" t="s">
        <v>20</v>
      </c>
      <c r="C126" t="s">
        <v>12</v>
      </c>
      <c r="D126" t="s">
        <v>21</v>
      </c>
      <c r="E126" s="1">
        <v>118</v>
      </c>
      <c r="F126" s="1">
        <v>118</v>
      </c>
      <c r="G126" s="1">
        <v>0</v>
      </c>
      <c r="H126" s="1">
        <v>0</v>
      </c>
      <c r="I126" s="1">
        <v>0</v>
      </c>
      <c r="J126" t="s">
        <v>14</v>
      </c>
      <c r="K126" s="12">
        <f t="shared" si="1"/>
        <v>0</v>
      </c>
    </row>
    <row r="127" spans="1:11" x14ac:dyDescent="0.2">
      <c r="A127" s="11">
        <v>45809</v>
      </c>
      <c r="B127" t="s">
        <v>22</v>
      </c>
      <c r="C127" t="s">
        <v>12</v>
      </c>
      <c r="D127" t="s">
        <v>23</v>
      </c>
      <c r="E127" s="1">
        <v>151</v>
      </c>
      <c r="F127" s="1">
        <v>161</v>
      </c>
      <c r="G127" s="1">
        <v>10</v>
      </c>
      <c r="H127" s="1">
        <v>0</v>
      </c>
      <c r="I127" s="1">
        <v>0</v>
      </c>
      <c r="J127" t="s">
        <v>14</v>
      </c>
      <c r="K127" s="12">
        <f t="shared" si="1"/>
        <v>0</v>
      </c>
    </row>
    <row r="128" spans="1:11" x14ac:dyDescent="0.2">
      <c r="A128" s="11">
        <v>45809</v>
      </c>
      <c r="B128" t="s">
        <v>24</v>
      </c>
      <c r="C128" t="s">
        <v>25</v>
      </c>
      <c r="D128" t="s">
        <v>26</v>
      </c>
      <c r="E128" s="1">
        <v>160</v>
      </c>
      <c r="F128" s="1">
        <v>160</v>
      </c>
      <c r="G128" s="1">
        <v>0</v>
      </c>
      <c r="H128" s="1">
        <v>0</v>
      </c>
      <c r="I128" s="1">
        <v>0</v>
      </c>
      <c r="J128" t="s">
        <v>14</v>
      </c>
      <c r="K128" s="12">
        <f t="shared" si="1"/>
        <v>0</v>
      </c>
    </row>
    <row r="129" spans="1:11" x14ac:dyDescent="0.2">
      <c r="A129" s="11">
        <v>45809</v>
      </c>
      <c r="B129" t="s">
        <v>27</v>
      </c>
      <c r="C129" t="s">
        <v>25</v>
      </c>
      <c r="D129" t="s">
        <v>28</v>
      </c>
      <c r="E129" s="1">
        <v>84</v>
      </c>
      <c r="F129" s="1">
        <v>80</v>
      </c>
      <c r="G129" s="1">
        <v>0</v>
      </c>
      <c r="H129" s="1">
        <v>4</v>
      </c>
      <c r="I129" s="1">
        <v>1</v>
      </c>
      <c r="J129" t="s">
        <v>18</v>
      </c>
      <c r="K129" s="12">
        <f t="shared" si="1"/>
        <v>4.7619047619047616E-2</v>
      </c>
    </row>
    <row r="130" spans="1:11" x14ac:dyDescent="0.2">
      <c r="A130" s="11">
        <v>45809</v>
      </c>
      <c r="B130" t="s">
        <v>29</v>
      </c>
      <c r="C130" t="s">
        <v>25</v>
      </c>
      <c r="D130" t="s">
        <v>30</v>
      </c>
      <c r="E130" s="1">
        <v>134</v>
      </c>
      <c r="F130" s="1">
        <v>134</v>
      </c>
      <c r="G130" s="1">
        <v>0</v>
      </c>
      <c r="H130" s="1">
        <v>0</v>
      </c>
      <c r="I130" s="1">
        <v>0</v>
      </c>
      <c r="J130" t="s">
        <v>14</v>
      </c>
      <c r="K130" s="12">
        <f t="shared" si="1"/>
        <v>0</v>
      </c>
    </row>
    <row r="131" spans="1:11" x14ac:dyDescent="0.2">
      <c r="A131" s="11">
        <v>45809</v>
      </c>
      <c r="B131" t="s">
        <v>31</v>
      </c>
      <c r="C131" t="s">
        <v>25</v>
      </c>
      <c r="D131" t="s">
        <v>26</v>
      </c>
      <c r="E131" s="1">
        <v>160</v>
      </c>
      <c r="F131" s="1">
        <v>0</v>
      </c>
      <c r="G131" s="1">
        <v>0</v>
      </c>
      <c r="H131" s="1">
        <v>160</v>
      </c>
      <c r="I131" s="1">
        <v>21</v>
      </c>
      <c r="J131" t="s">
        <v>59</v>
      </c>
      <c r="K131" s="12">
        <f t="shared" ref="K131:K194" si="2">IFERROR(H131/E131,0)</f>
        <v>1</v>
      </c>
    </row>
    <row r="132" spans="1:11" x14ac:dyDescent="0.2">
      <c r="A132" s="11">
        <v>45809</v>
      </c>
      <c r="B132" t="s">
        <v>32</v>
      </c>
      <c r="C132" t="s">
        <v>33</v>
      </c>
      <c r="D132" t="s">
        <v>34</v>
      </c>
      <c r="E132" s="1">
        <v>134</v>
      </c>
      <c r="F132" s="1">
        <v>136</v>
      </c>
      <c r="G132" s="1">
        <v>2</v>
      </c>
      <c r="H132" s="1">
        <v>0</v>
      </c>
      <c r="I132" s="1">
        <v>0</v>
      </c>
      <c r="J132" t="s">
        <v>14</v>
      </c>
      <c r="K132" s="12">
        <f t="shared" si="2"/>
        <v>0</v>
      </c>
    </row>
    <row r="133" spans="1:11" x14ac:dyDescent="0.2">
      <c r="A133" s="11">
        <v>45809</v>
      </c>
      <c r="B133" t="s">
        <v>35</v>
      </c>
      <c r="C133" t="s">
        <v>33</v>
      </c>
      <c r="D133" t="s">
        <v>34</v>
      </c>
      <c r="E133" s="1">
        <v>151</v>
      </c>
      <c r="F133" s="1">
        <v>138</v>
      </c>
      <c r="G133" s="1">
        <v>9</v>
      </c>
      <c r="H133" s="1">
        <v>22</v>
      </c>
      <c r="I133" s="1">
        <v>3</v>
      </c>
      <c r="J133" t="s">
        <v>18</v>
      </c>
      <c r="K133" s="12">
        <f t="shared" si="2"/>
        <v>0.14569536423841059</v>
      </c>
    </row>
    <row r="134" spans="1:11" x14ac:dyDescent="0.2">
      <c r="A134" s="11">
        <v>45809</v>
      </c>
      <c r="B134" t="s">
        <v>36</v>
      </c>
      <c r="C134" t="s">
        <v>33</v>
      </c>
      <c r="D134" t="s">
        <v>34</v>
      </c>
      <c r="E134" s="1">
        <v>101</v>
      </c>
      <c r="F134" s="1">
        <v>102</v>
      </c>
      <c r="G134" s="1">
        <v>1</v>
      </c>
      <c r="H134" s="1">
        <v>0</v>
      </c>
      <c r="I134" s="1">
        <v>0</v>
      </c>
      <c r="J134" t="s">
        <v>14</v>
      </c>
      <c r="K134" s="12">
        <f t="shared" si="2"/>
        <v>0</v>
      </c>
    </row>
    <row r="135" spans="1:11" x14ac:dyDescent="0.2">
      <c r="A135" s="11">
        <v>45809</v>
      </c>
      <c r="B135" t="s">
        <v>37</v>
      </c>
      <c r="C135" t="s">
        <v>33</v>
      </c>
      <c r="D135" t="s">
        <v>23</v>
      </c>
      <c r="E135" s="1">
        <v>151</v>
      </c>
      <c r="F135" s="1">
        <v>151</v>
      </c>
      <c r="G135" s="1">
        <v>0</v>
      </c>
      <c r="H135" s="1">
        <v>0</v>
      </c>
      <c r="I135" s="1">
        <v>0</v>
      </c>
      <c r="J135" t="s">
        <v>14</v>
      </c>
      <c r="K135" s="12">
        <f t="shared" si="2"/>
        <v>0</v>
      </c>
    </row>
    <row r="136" spans="1:11" x14ac:dyDescent="0.2">
      <c r="A136" s="11">
        <v>45809</v>
      </c>
      <c r="B136" t="s">
        <v>39</v>
      </c>
      <c r="C136" t="s">
        <v>33</v>
      </c>
      <c r="D136" t="s">
        <v>34</v>
      </c>
      <c r="E136" s="1">
        <v>118</v>
      </c>
      <c r="F136" s="1">
        <v>118</v>
      </c>
      <c r="G136" s="1">
        <v>0</v>
      </c>
      <c r="H136" s="1">
        <v>0</v>
      </c>
      <c r="I136" s="1">
        <v>0</v>
      </c>
      <c r="J136" t="s">
        <v>14</v>
      </c>
      <c r="K136" s="12">
        <f t="shared" si="2"/>
        <v>0</v>
      </c>
    </row>
    <row r="137" spans="1:11" x14ac:dyDescent="0.2">
      <c r="A137" s="11">
        <v>45809</v>
      </c>
      <c r="B137" t="s">
        <v>40</v>
      </c>
      <c r="C137" t="s">
        <v>41</v>
      </c>
      <c r="D137" t="s">
        <v>42</v>
      </c>
      <c r="E137" s="1">
        <v>151</v>
      </c>
      <c r="F137" s="1">
        <v>159</v>
      </c>
      <c r="G137" s="1">
        <v>8</v>
      </c>
      <c r="H137" s="1">
        <v>0</v>
      </c>
      <c r="I137" s="1">
        <v>0</v>
      </c>
      <c r="J137" t="s">
        <v>14</v>
      </c>
      <c r="K137" s="12">
        <f t="shared" si="2"/>
        <v>0</v>
      </c>
    </row>
    <row r="138" spans="1:11" x14ac:dyDescent="0.2">
      <c r="A138" s="11">
        <v>45809</v>
      </c>
      <c r="B138" t="s">
        <v>43</v>
      </c>
      <c r="C138" t="s">
        <v>41</v>
      </c>
      <c r="D138" t="s">
        <v>44</v>
      </c>
      <c r="E138" s="1">
        <v>134</v>
      </c>
      <c r="F138" s="1">
        <v>134</v>
      </c>
      <c r="G138" s="1">
        <v>0</v>
      </c>
      <c r="H138" s="1">
        <v>0</v>
      </c>
      <c r="I138" s="1">
        <v>0</v>
      </c>
      <c r="J138" t="s">
        <v>14</v>
      </c>
      <c r="K138" s="12">
        <f t="shared" si="2"/>
        <v>0</v>
      </c>
    </row>
    <row r="139" spans="1:11" x14ac:dyDescent="0.2">
      <c r="A139" s="11">
        <v>45809</v>
      </c>
      <c r="B139" t="s">
        <v>45</v>
      </c>
      <c r="C139" t="s">
        <v>41</v>
      </c>
      <c r="D139" t="s">
        <v>46</v>
      </c>
      <c r="E139" s="1">
        <v>101</v>
      </c>
      <c r="F139" s="1">
        <v>101</v>
      </c>
      <c r="G139" s="1">
        <v>0</v>
      </c>
      <c r="H139" s="1">
        <v>0</v>
      </c>
      <c r="I139" s="1">
        <v>0</v>
      </c>
      <c r="J139" t="s">
        <v>14</v>
      </c>
      <c r="K139" s="12">
        <f t="shared" si="2"/>
        <v>0</v>
      </c>
    </row>
    <row r="140" spans="1:11" x14ac:dyDescent="0.2">
      <c r="A140" s="11">
        <v>45809</v>
      </c>
      <c r="B140" t="s">
        <v>47</v>
      </c>
      <c r="C140" t="s">
        <v>41</v>
      </c>
      <c r="D140" t="s">
        <v>48</v>
      </c>
      <c r="E140" s="1">
        <v>134</v>
      </c>
      <c r="F140" s="1">
        <v>138</v>
      </c>
      <c r="G140" s="1">
        <v>4</v>
      </c>
      <c r="H140" s="1">
        <v>0</v>
      </c>
      <c r="I140" s="1">
        <v>0</v>
      </c>
      <c r="J140" t="s">
        <v>14</v>
      </c>
      <c r="K140" s="12">
        <f t="shared" si="2"/>
        <v>0</v>
      </c>
    </row>
    <row r="141" spans="1:11" x14ac:dyDescent="0.2">
      <c r="A141" s="11">
        <v>45809</v>
      </c>
      <c r="B141" t="s">
        <v>49</v>
      </c>
      <c r="C141" t="s">
        <v>50</v>
      </c>
      <c r="D141" t="s">
        <v>51</v>
      </c>
      <c r="E141" s="1">
        <v>160</v>
      </c>
      <c r="F141" s="1">
        <v>163</v>
      </c>
      <c r="G141" s="1">
        <v>3</v>
      </c>
      <c r="H141" s="1">
        <v>0</v>
      </c>
      <c r="I141" s="1">
        <v>0</v>
      </c>
      <c r="J141" t="s">
        <v>14</v>
      </c>
      <c r="K141" s="12">
        <f t="shared" si="2"/>
        <v>0</v>
      </c>
    </row>
    <row r="142" spans="1:11" x14ac:dyDescent="0.2">
      <c r="A142" s="11">
        <v>45809</v>
      </c>
      <c r="B142" t="s">
        <v>52</v>
      </c>
      <c r="C142" t="s">
        <v>50</v>
      </c>
      <c r="D142" t="s">
        <v>53</v>
      </c>
      <c r="E142" s="1">
        <v>151</v>
      </c>
      <c r="F142" s="1">
        <v>161</v>
      </c>
      <c r="G142" s="1">
        <v>10</v>
      </c>
      <c r="H142" s="1">
        <v>0</v>
      </c>
      <c r="I142" s="1">
        <v>0</v>
      </c>
      <c r="J142" t="s">
        <v>14</v>
      </c>
      <c r="K142" s="12">
        <f t="shared" si="2"/>
        <v>0</v>
      </c>
    </row>
    <row r="143" spans="1:11" x14ac:dyDescent="0.2">
      <c r="A143" s="11">
        <v>45809</v>
      </c>
      <c r="B143" t="s">
        <v>54</v>
      </c>
      <c r="C143" t="s">
        <v>50</v>
      </c>
      <c r="D143" t="s">
        <v>55</v>
      </c>
      <c r="E143" s="1">
        <v>134</v>
      </c>
      <c r="F143" s="1">
        <v>134</v>
      </c>
      <c r="G143" s="1">
        <v>0</v>
      </c>
      <c r="H143" s="1">
        <v>0</v>
      </c>
      <c r="I143" s="1">
        <v>0</v>
      </c>
      <c r="J143" t="s">
        <v>14</v>
      </c>
      <c r="K143" s="12">
        <f t="shared" si="2"/>
        <v>0</v>
      </c>
    </row>
    <row r="144" spans="1:11" x14ac:dyDescent="0.2">
      <c r="A144" s="11">
        <v>45809</v>
      </c>
      <c r="B144" t="s">
        <v>56</v>
      </c>
      <c r="C144" t="s">
        <v>50</v>
      </c>
      <c r="D144" t="s">
        <v>57</v>
      </c>
      <c r="E144" s="1">
        <v>151</v>
      </c>
      <c r="F144" s="1">
        <v>151</v>
      </c>
      <c r="G144" s="1">
        <v>0</v>
      </c>
      <c r="H144" s="1">
        <v>0</v>
      </c>
      <c r="I144" s="1">
        <v>0</v>
      </c>
      <c r="J144" t="s">
        <v>14</v>
      </c>
      <c r="K144" s="12">
        <f t="shared" si="2"/>
        <v>0</v>
      </c>
    </row>
    <row r="145" spans="1:11" x14ac:dyDescent="0.2">
      <c r="A145" s="11">
        <v>45809</v>
      </c>
      <c r="B145" t="s">
        <v>58</v>
      </c>
      <c r="C145" t="s">
        <v>50</v>
      </c>
      <c r="D145" t="s">
        <v>23</v>
      </c>
      <c r="E145" s="1">
        <v>151</v>
      </c>
      <c r="F145" s="1">
        <v>151</v>
      </c>
      <c r="G145" s="1">
        <v>0</v>
      </c>
      <c r="H145" s="1">
        <v>0</v>
      </c>
      <c r="I145" s="1">
        <v>0</v>
      </c>
      <c r="J145" t="s">
        <v>14</v>
      </c>
      <c r="K145" s="12">
        <f t="shared" si="2"/>
        <v>0</v>
      </c>
    </row>
    <row r="146" spans="1:11" x14ac:dyDescent="0.2">
      <c r="A146" s="11">
        <v>45839</v>
      </c>
      <c r="B146" t="s">
        <v>11</v>
      </c>
      <c r="C146" t="s">
        <v>12</v>
      </c>
      <c r="D146" t="s">
        <v>13</v>
      </c>
      <c r="E146" s="1">
        <v>141</v>
      </c>
      <c r="F146" s="1">
        <v>138</v>
      </c>
      <c r="G146" s="1">
        <v>10</v>
      </c>
      <c r="H146" s="1">
        <v>13</v>
      </c>
      <c r="I146" s="1">
        <v>2</v>
      </c>
      <c r="J146" t="s">
        <v>18</v>
      </c>
      <c r="K146" s="12">
        <f t="shared" si="2"/>
        <v>9.2198581560283682E-2</v>
      </c>
    </row>
    <row r="147" spans="1:11" x14ac:dyDescent="0.2">
      <c r="A147" s="11">
        <v>45839</v>
      </c>
      <c r="B147" t="s">
        <v>15</v>
      </c>
      <c r="C147" t="s">
        <v>12</v>
      </c>
      <c r="D147" t="s">
        <v>16</v>
      </c>
      <c r="E147" s="1">
        <v>158</v>
      </c>
      <c r="F147" s="1">
        <v>0</v>
      </c>
      <c r="G147" s="1">
        <v>0</v>
      </c>
      <c r="H147" s="1">
        <v>158</v>
      </c>
      <c r="I147" s="1">
        <v>22</v>
      </c>
      <c r="J147" t="s">
        <v>59</v>
      </c>
      <c r="K147" s="12">
        <f t="shared" si="2"/>
        <v>1</v>
      </c>
    </row>
    <row r="148" spans="1:11" x14ac:dyDescent="0.2">
      <c r="A148" s="11">
        <v>45839</v>
      </c>
      <c r="B148" t="s">
        <v>17</v>
      </c>
      <c r="C148" t="s">
        <v>12</v>
      </c>
      <c r="D148" t="s">
        <v>13</v>
      </c>
      <c r="E148" s="1">
        <v>106</v>
      </c>
      <c r="F148" s="1">
        <v>116</v>
      </c>
      <c r="G148" s="1">
        <v>10</v>
      </c>
      <c r="H148" s="1">
        <v>0</v>
      </c>
      <c r="I148" s="1">
        <v>0</v>
      </c>
      <c r="J148" t="s">
        <v>14</v>
      </c>
      <c r="K148" s="12">
        <f t="shared" si="2"/>
        <v>0</v>
      </c>
    </row>
    <row r="149" spans="1:11" x14ac:dyDescent="0.2">
      <c r="A149" s="11">
        <v>45839</v>
      </c>
      <c r="B149" t="s">
        <v>19</v>
      </c>
      <c r="C149" t="s">
        <v>12</v>
      </c>
      <c r="D149" t="s">
        <v>16</v>
      </c>
      <c r="E149" s="1">
        <v>158</v>
      </c>
      <c r="F149" s="1">
        <v>158</v>
      </c>
      <c r="G149" s="1">
        <v>0</v>
      </c>
      <c r="H149" s="1">
        <v>0</v>
      </c>
      <c r="I149" s="1">
        <v>0</v>
      </c>
      <c r="J149" t="s">
        <v>14</v>
      </c>
      <c r="K149" s="12">
        <f t="shared" si="2"/>
        <v>0</v>
      </c>
    </row>
    <row r="150" spans="1:11" x14ac:dyDescent="0.2">
      <c r="A150" s="11">
        <v>45839</v>
      </c>
      <c r="B150" t="s">
        <v>20</v>
      </c>
      <c r="C150" t="s">
        <v>12</v>
      </c>
      <c r="D150" t="s">
        <v>21</v>
      </c>
      <c r="E150" s="1">
        <v>123</v>
      </c>
      <c r="F150" s="1">
        <v>128</v>
      </c>
      <c r="G150" s="1">
        <v>5</v>
      </c>
      <c r="H150" s="1">
        <v>0</v>
      </c>
      <c r="I150" s="1">
        <v>0</v>
      </c>
      <c r="J150" t="s">
        <v>14</v>
      </c>
      <c r="K150" s="12">
        <f t="shared" si="2"/>
        <v>0</v>
      </c>
    </row>
    <row r="151" spans="1:11" x14ac:dyDescent="0.2">
      <c r="A151" s="11">
        <v>45839</v>
      </c>
      <c r="B151" t="s">
        <v>22</v>
      </c>
      <c r="C151" t="s">
        <v>12</v>
      </c>
      <c r="D151" t="s">
        <v>23</v>
      </c>
      <c r="E151" s="1">
        <v>158</v>
      </c>
      <c r="F151" s="1">
        <v>158</v>
      </c>
      <c r="G151" s="1">
        <v>0</v>
      </c>
      <c r="H151" s="1">
        <v>0</v>
      </c>
      <c r="I151" s="1">
        <v>0</v>
      </c>
      <c r="J151" t="s">
        <v>14</v>
      </c>
      <c r="K151" s="12">
        <f t="shared" si="2"/>
        <v>0</v>
      </c>
    </row>
    <row r="152" spans="1:11" x14ac:dyDescent="0.2">
      <c r="A152" s="11">
        <v>45839</v>
      </c>
      <c r="B152" t="s">
        <v>24</v>
      </c>
      <c r="C152" t="s">
        <v>25</v>
      </c>
      <c r="D152" t="s">
        <v>26</v>
      </c>
      <c r="E152" s="1">
        <v>167</v>
      </c>
      <c r="F152" s="1">
        <v>167</v>
      </c>
      <c r="G152" s="1">
        <v>0</v>
      </c>
      <c r="H152" s="1">
        <v>0</v>
      </c>
      <c r="I152" s="1">
        <v>0</v>
      </c>
      <c r="J152" t="s">
        <v>14</v>
      </c>
      <c r="K152" s="12">
        <f t="shared" si="2"/>
        <v>0</v>
      </c>
    </row>
    <row r="153" spans="1:11" x14ac:dyDescent="0.2">
      <c r="A153" s="11">
        <v>45839</v>
      </c>
      <c r="B153" t="s">
        <v>27</v>
      </c>
      <c r="C153" t="s">
        <v>25</v>
      </c>
      <c r="D153" t="s">
        <v>28</v>
      </c>
      <c r="E153" s="1">
        <v>88</v>
      </c>
      <c r="F153" s="1">
        <v>90</v>
      </c>
      <c r="G153" s="1">
        <v>2</v>
      </c>
      <c r="H153" s="1">
        <v>0</v>
      </c>
      <c r="I153" s="1">
        <v>0</v>
      </c>
      <c r="J153" t="s">
        <v>14</v>
      </c>
      <c r="K153" s="12">
        <f t="shared" si="2"/>
        <v>0</v>
      </c>
    </row>
    <row r="154" spans="1:11" x14ac:dyDescent="0.2">
      <c r="A154" s="11">
        <v>45839</v>
      </c>
      <c r="B154" t="s">
        <v>29</v>
      </c>
      <c r="C154" t="s">
        <v>25</v>
      </c>
      <c r="D154" t="s">
        <v>30</v>
      </c>
      <c r="E154" s="1">
        <v>141</v>
      </c>
      <c r="F154" s="1">
        <v>141</v>
      </c>
      <c r="G154" s="1">
        <v>0</v>
      </c>
      <c r="H154" s="1">
        <v>0</v>
      </c>
      <c r="I154" s="1">
        <v>0</v>
      </c>
      <c r="J154" t="s">
        <v>14</v>
      </c>
      <c r="K154" s="12">
        <f t="shared" si="2"/>
        <v>0</v>
      </c>
    </row>
    <row r="155" spans="1:11" x14ac:dyDescent="0.2">
      <c r="A155" s="11">
        <v>45839</v>
      </c>
      <c r="B155" t="s">
        <v>31</v>
      </c>
      <c r="C155" t="s">
        <v>25</v>
      </c>
      <c r="D155" t="s">
        <v>26</v>
      </c>
      <c r="E155" s="1">
        <v>167</v>
      </c>
      <c r="F155" s="1">
        <v>159</v>
      </c>
      <c r="G155" s="1">
        <v>0</v>
      </c>
      <c r="H155" s="1">
        <v>8</v>
      </c>
      <c r="I155" s="1">
        <v>1</v>
      </c>
      <c r="J155" t="s">
        <v>18</v>
      </c>
      <c r="K155" s="12">
        <f t="shared" si="2"/>
        <v>4.790419161676647E-2</v>
      </c>
    </row>
    <row r="156" spans="1:11" x14ac:dyDescent="0.2">
      <c r="A156" s="11">
        <v>45839</v>
      </c>
      <c r="B156" t="s">
        <v>32</v>
      </c>
      <c r="C156" t="s">
        <v>33</v>
      </c>
      <c r="D156" t="s">
        <v>34</v>
      </c>
      <c r="E156" s="1">
        <v>141</v>
      </c>
      <c r="F156" s="1">
        <v>141</v>
      </c>
      <c r="G156" s="1">
        <v>0</v>
      </c>
      <c r="H156" s="1">
        <v>0</v>
      </c>
      <c r="I156" s="1">
        <v>0</v>
      </c>
      <c r="J156" t="s">
        <v>14</v>
      </c>
      <c r="K156" s="12">
        <f t="shared" si="2"/>
        <v>0</v>
      </c>
    </row>
    <row r="157" spans="1:11" x14ac:dyDescent="0.2">
      <c r="A157" s="11">
        <v>45839</v>
      </c>
      <c r="B157" t="s">
        <v>35</v>
      </c>
      <c r="C157" t="s">
        <v>33</v>
      </c>
      <c r="D157" t="s">
        <v>34</v>
      </c>
      <c r="E157" s="1">
        <v>158</v>
      </c>
      <c r="F157" s="1">
        <v>109</v>
      </c>
      <c r="G157" s="1">
        <v>9</v>
      </c>
      <c r="H157" s="1">
        <v>58</v>
      </c>
      <c r="I157" s="1">
        <v>8</v>
      </c>
      <c r="J157" t="s">
        <v>38</v>
      </c>
      <c r="K157" s="12">
        <f t="shared" si="2"/>
        <v>0.36708860759493672</v>
      </c>
    </row>
    <row r="158" spans="1:11" x14ac:dyDescent="0.2">
      <c r="A158" s="11">
        <v>45839</v>
      </c>
      <c r="B158" t="s">
        <v>36</v>
      </c>
      <c r="C158" t="s">
        <v>33</v>
      </c>
      <c r="D158" t="s">
        <v>34</v>
      </c>
      <c r="E158" s="1">
        <v>106</v>
      </c>
      <c r="F158" s="1">
        <v>108</v>
      </c>
      <c r="G158" s="1">
        <v>2</v>
      </c>
      <c r="H158" s="1">
        <v>0</v>
      </c>
      <c r="I158" s="1">
        <v>0</v>
      </c>
      <c r="J158" t="s">
        <v>14</v>
      </c>
      <c r="K158" s="12">
        <f t="shared" si="2"/>
        <v>0</v>
      </c>
    </row>
    <row r="159" spans="1:11" x14ac:dyDescent="0.2">
      <c r="A159" s="11">
        <v>45839</v>
      </c>
      <c r="B159" t="s">
        <v>37</v>
      </c>
      <c r="C159" t="s">
        <v>33</v>
      </c>
      <c r="D159" t="s">
        <v>23</v>
      </c>
      <c r="E159" s="1">
        <v>158</v>
      </c>
      <c r="F159" s="1">
        <v>166</v>
      </c>
      <c r="G159" s="1">
        <v>8</v>
      </c>
      <c r="H159" s="1">
        <v>0</v>
      </c>
      <c r="I159" s="1">
        <v>0</v>
      </c>
      <c r="J159" t="s">
        <v>14</v>
      </c>
      <c r="K159" s="12">
        <f t="shared" si="2"/>
        <v>0</v>
      </c>
    </row>
    <row r="160" spans="1:11" x14ac:dyDescent="0.2">
      <c r="A160" s="11">
        <v>45839</v>
      </c>
      <c r="B160" t="s">
        <v>39</v>
      </c>
      <c r="C160" t="s">
        <v>33</v>
      </c>
      <c r="D160" t="s">
        <v>34</v>
      </c>
      <c r="E160" s="1">
        <v>123</v>
      </c>
      <c r="F160" s="1">
        <v>127</v>
      </c>
      <c r="G160" s="1">
        <v>4</v>
      </c>
      <c r="H160" s="1">
        <v>0</v>
      </c>
      <c r="I160" s="1">
        <v>0</v>
      </c>
      <c r="J160" t="s">
        <v>14</v>
      </c>
      <c r="K160" s="12">
        <f t="shared" si="2"/>
        <v>0</v>
      </c>
    </row>
    <row r="161" spans="1:11" x14ac:dyDescent="0.2">
      <c r="A161" s="11">
        <v>45839</v>
      </c>
      <c r="B161" t="s">
        <v>40</v>
      </c>
      <c r="C161" t="s">
        <v>41</v>
      </c>
      <c r="D161" t="s">
        <v>42</v>
      </c>
      <c r="E161" s="1">
        <v>158</v>
      </c>
      <c r="F161" s="1">
        <v>158</v>
      </c>
      <c r="G161" s="1">
        <v>0</v>
      </c>
      <c r="H161" s="1">
        <v>0</v>
      </c>
      <c r="I161" s="1">
        <v>0</v>
      </c>
      <c r="J161" t="s">
        <v>14</v>
      </c>
      <c r="K161" s="12">
        <f t="shared" si="2"/>
        <v>0</v>
      </c>
    </row>
    <row r="162" spans="1:11" x14ac:dyDescent="0.2">
      <c r="A162" s="11">
        <v>45839</v>
      </c>
      <c r="B162" t="s">
        <v>43</v>
      </c>
      <c r="C162" t="s">
        <v>41</v>
      </c>
      <c r="D162" t="s">
        <v>44</v>
      </c>
      <c r="E162" s="1">
        <v>141</v>
      </c>
      <c r="F162" s="1">
        <v>141</v>
      </c>
      <c r="G162" s="1">
        <v>0</v>
      </c>
      <c r="H162" s="1">
        <v>0</v>
      </c>
      <c r="I162" s="1">
        <v>0</v>
      </c>
      <c r="J162" t="s">
        <v>14</v>
      </c>
      <c r="K162" s="12">
        <f t="shared" si="2"/>
        <v>0</v>
      </c>
    </row>
    <row r="163" spans="1:11" x14ac:dyDescent="0.2">
      <c r="A163" s="11">
        <v>45839</v>
      </c>
      <c r="B163" t="s">
        <v>45</v>
      </c>
      <c r="C163" t="s">
        <v>41</v>
      </c>
      <c r="D163" t="s">
        <v>46</v>
      </c>
      <c r="E163" s="1">
        <v>106</v>
      </c>
      <c r="F163" s="1">
        <v>106</v>
      </c>
      <c r="G163" s="1">
        <v>0</v>
      </c>
      <c r="H163" s="1">
        <v>0</v>
      </c>
      <c r="I163" s="1">
        <v>0</v>
      </c>
      <c r="J163" t="s">
        <v>14</v>
      </c>
      <c r="K163" s="12">
        <f t="shared" si="2"/>
        <v>0</v>
      </c>
    </row>
    <row r="164" spans="1:11" x14ac:dyDescent="0.2">
      <c r="A164" s="11">
        <v>45839</v>
      </c>
      <c r="B164" t="s">
        <v>47</v>
      </c>
      <c r="C164" t="s">
        <v>41</v>
      </c>
      <c r="D164" t="s">
        <v>48</v>
      </c>
      <c r="E164" s="1">
        <v>141</v>
      </c>
      <c r="F164" s="1">
        <v>143</v>
      </c>
      <c r="G164" s="1">
        <v>2</v>
      </c>
      <c r="H164" s="1">
        <v>0</v>
      </c>
      <c r="I164" s="1">
        <v>0</v>
      </c>
      <c r="J164" t="s">
        <v>14</v>
      </c>
      <c r="K164" s="12">
        <f t="shared" si="2"/>
        <v>0</v>
      </c>
    </row>
    <row r="165" spans="1:11" x14ac:dyDescent="0.2">
      <c r="A165" s="11">
        <v>45839</v>
      </c>
      <c r="B165" t="s">
        <v>49</v>
      </c>
      <c r="C165" t="s">
        <v>50</v>
      </c>
      <c r="D165" t="s">
        <v>51</v>
      </c>
      <c r="E165" s="1">
        <v>167</v>
      </c>
      <c r="F165" s="1">
        <v>176</v>
      </c>
      <c r="G165" s="1">
        <v>9</v>
      </c>
      <c r="H165" s="1">
        <v>0</v>
      </c>
      <c r="I165" s="1">
        <v>0</v>
      </c>
      <c r="J165" t="s">
        <v>14</v>
      </c>
      <c r="K165" s="12">
        <f t="shared" si="2"/>
        <v>0</v>
      </c>
    </row>
    <row r="166" spans="1:11" x14ac:dyDescent="0.2">
      <c r="A166" s="11">
        <v>45839</v>
      </c>
      <c r="B166" t="s">
        <v>52</v>
      </c>
      <c r="C166" t="s">
        <v>50</v>
      </c>
      <c r="D166" t="s">
        <v>53</v>
      </c>
      <c r="E166" s="1">
        <v>158</v>
      </c>
      <c r="F166" s="1">
        <v>159</v>
      </c>
      <c r="G166" s="1">
        <v>1</v>
      </c>
      <c r="H166" s="1">
        <v>0</v>
      </c>
      <c r="I166" s="1">
        <v>0</v>
      </c>
      <c r="J166" t="s">
        <v>14</v>
      </c>
      <c r="K166" s="12">
        <f t="shared" si="2"/>
        <v>0</v>
      </c>
    </row>
    <row r="167" spans="1:11" x14ac:dyDescent="0.2">
      <c r="A167" s="11">
        <v>45839</v>
      </c>
      <c r="B167" t="s">
        <v>54</v>
      </c>
      <c r="C167" t="s">
        <v>50</v>
      </c>
      <c r="D167" t="s">
        <v>55</v>
      </c>
      <c r="E167" s="1">
        <v>141</v>
      </c>
      <c r="F167" s="1">
        <v>145</v>
      </c>
      <c r="G167" s="1">
        <v>4</v>
      </c>
      <c r="H167" s="1">
        <v>0</v>
      </c>
      <c r="I167" s="1">
        <v>0</v>
      </c>
      <c r="J167" t="s">
        <v>14</v>
      </c>
      <c r="K167" s="12">
        <f t="shared" si="2"/>
        <v>0</v>
      </c>
    </row>
    <row r="168" spans="1:11" x14ac:dyDescent="0.2">
      <c r="A168" s="11">
        <v>45839</v>
      </c>
      <c r="B168" t="s">
        <v>56</v>
      </c>
      <c r="C168" t="s">
        <v>50</v>
      </c>
      <c r="D168" t="s">
        <v>57</v>
      </c>
      <c r="E168" s="1">
        <v>158</v>
      </c>
      <c r="F168" s="1">
        <v>158</v>
      </c>
      <c r="G168" s="1">
        <v>0</v>
      </c>
      <c r="H168" s="1">
        <v>0</v>
      </c>
      <c r="I168" s="1">
        <v>0</v>
      </c>
      <c r="J168" t="s">
        <v>14</v>
      </c>
      <c r="K168" s="12">
        <f t="shared" si="2"/>
        <v>0</v>
      </c>
    </row>
    <row r="169" spans="1:11" x14ac:dyDescent="0.2">
      <c r="A169" s="11">
        <v>45839</v>
      </c>
      <c r="B169" t="s">
        <v>58</v>
      </c>
      <c r="C169" t="s">
        <v>50</v>
      </c>
      <c r="D169" t="s">
        <v>23</v>
      </c>
      <c r="E169" s="1">
        <v>158</v>
      </c>
      <c r="F169" s="1">
        <v>158</v>
      </c>
      <c r="G169" s="1">
        <v>0</v>
      </c>
      <c r="H169" s="1">
        <v>0</v>
      </c>
      <c r="I169" s="1">
        <v>0</v>
      </c>
      <c r="J169" t="s">
        <v>14</v>
      </c>
      <c r="K169" s="12">
        <f t="shared" si="2"/>
        <v>0</v>
      </c>
    </row>
    <row r="170" spans="1:11" x14ac:dyDescent="0.2">
      <c r="A170" s="11">
        <v>45870</v>
      </c>
      <c r="B170" t="s">
        <v>11</v>
      </c>
      <c r="C170" t="s">
        <v>12</v>
      </c>
      <c r="D170" t="s">
        <v>13</v>
      </c>
      <c r="E170" s="1">
        <v>134</v>
      </c>
      <c r="F170" s="1">
        <v>134</v>
      </c>
      <c r="G170" s="1">
        <v>0</v>
      </c>
      <c r="H170" s="1">
        <v>0</v>
      </c>
      <c r="I170" s="1">
        <v>0</v>
      </c>
      <c r="J170" t="s">
        <v>14</v>
      </c>
      <c r="K170" s="12">
        <f t="shared" si="2"/>
        <v>0</v>
      </c>
    </row>
    <row r="171" spans="1:11" x14ac:dyDescent="0.2">
      <c r="A171" s="11">
        <v>45870</v>
      </c>
      <c r="B171" t="s">
        <v>15</v>
      </c>
      <c r="C171" t="s">
        <v>12</v>
      </c>
      <c r="D171" t="s">
        <v>16</v>
      </c>
      <c r="E171" s="1">
        <v>151</v>
      </c>
      <c r="F171" s="1">
        <v>151</v>
      </c>
      <c r="G171" s="1">
        <v>0</v>
      </c>
      <c r="H171" s="1">
        <v>0</v>
      </c>
      <c r="I171" s="1">
        <v>0</v>
      </c>
      <c r="J171" t="s">
        <v>14</v>
      </c>
      <c r="K171" s="12">
        <f t="shared" si="2"/>
        <v>0</v>
      </c>
    </row>
    <row r="172" spans="1:11" x14ac:dyDescent="0.2">
      <c r="A172" s="11">
        <v>45870</v>
      </c>
      <c r="B172" t="s">
        <v>17</v>
      </c>
      <c r="C172" t="s">
        <v>12</v>
      </c>
      <c r="D172" t="s">
        <v>13</v>
      </c>
      <c r="E172" s="1">
        <v>101</v>
      </c>
      <c r="F172" s="1">
        <v>103</v>
      </c>
      <c r="G172" s="1">
        <v>2</v>
      </c>
      <c r="H172" s="1">
        <v>0</v>
      </c>
      <c r="I172" s="1">
        <v>0</v>
      </c>
      <c r="J172" t="s">
        <v>14</v>
      </c>
      <c r="K172" s="12">
        <f t="shared" si="2"/>
        <v>0</v>
      </c>
    </row>
    <row r="173" spans="1:11" x14ac:dyDescent="0.2">
      <c r="A173" s="11">
        <v>45870</v>
      </c>
      <c r="B173" t="s">
        <v>19</v>
      </c>
      <c r="C173" t="s">
        <v>12</v>
      </c>
      <c r="D173" t="s">
        <v>16</v>
      </c>
      <c r="E173" s="1">
        <v>151</v>
      </c>
      <c r="F173" s="1">
        <v>151</v>
      </c>
      <c r="G173" s="1">
        <v>0</v>
      </c>
      <c r="H173" s="1">
        <v>0</v>
      </c>
      <c r="I173" s="1">
        <v>0</v>
      </c>
      <c r="J173" t="s">
        <v>14</v>
      </c>
      <c r="K173" s="12">
        <f t="shared" si="2"/>
        <v>0</v>
      </c>
    </row>
    <row r="174" spans="1:11" x14ac:dyDescent="0.2">
      <c r="A174" s="11">
        <v>45870</v>
      </c>
      <c r="B174" t="s">
        <v>20</v>
      </c>
      <c r="C174" t="s">
        <v>12</v>
      </c>
      <c r="D174" t="s">
        <v>21</v>
      </c>
      <c r="E174" s="1">
        <v>118</v>
      </c>
      <c r="F174" s="1">
        <v>101</v>
      </c>
      <c r="G174" s="1">
        <v>0</v>
      </c>
      <c r="H174" s="1">
        <v>17</v>
      </c>
      <c r="I174" s="1">
        <v>3</v>
      </c>
      <c r="J174" t="s">
        <v>18</v>
      </c>
      <c r="K174" s="12">
        <f t="shared" si="2"/>
        <v>0.1440677966101695</v>
      </c>
    </row>
    <row r="175" spans="1:11" x14ac:dyDescent="0.2">
      <c r="A175" s="11">
        <v>45870</v>
      </c>
      <c r="B175" t="s">
        <v>22</v>
      </c>
      <c r="C175" t="s">
        <v>12</v>
      </c>
      <c r="D175" t="s">
        <v>23</v>
      </c>
      <c r="E175" s="1">
        <v>151</v>
      </c>
      <c r="F175" s="1">
        <v>151</v>
      </c>
      <c r="G175" s="1">
        <v>0</v>
      </c>
      <c r="H175" s="1">
        <v>0</v>
      </c>
      <c r="I175" s="1">
        <v>0</v>
      </c>
      <c r="J175" t="s">
        <v>14</v>
      </c>
      <c r="K175" s="12">
        <f t="shared" si="2"/>
        <v>0</v>
      </c>
    </row>
    <row r="176" spans="1:11" x14ac:dyDescent="0.2">
      <c r="A176" s="11">
        <v>45870</v>
      </c>
      <c r="B176" t="s">
        <v>24</v>
      </c>
      <c r="C176" t="s">
        <v>25</v>
      </c>
      <c r="D176" t="s">
        <v>26</v>
      </c>
      <c r="E176" s="1">
        <v>160</v>
      </c>
      <c r="F176" s="1">
        <v>169</v>
      </c>
      <c r="G176" s="1">
        <v>9</v>
      </c>
      <c r="H176" s="1">
        <v>0</v>
      </c>
      <c r="I176" s="1">
        <v>0</v>
      </c>
      <c r="J176" t="s">
        <v>14</v>
      </c>
      <c r="K176" s="12">
        <f t="shared" si="2"/>
        <v>0</v>
      </c>
    </row>
    <row r="177" spans="1:11" x14ac:dyDescent="0.2">
      <c r="A177" s="11">
        <v>45870</v>
      </c>
      <c r="B177" t="s">
        <v>27</v>
      </c>
      <c r="C177" t="s">
        <v>25</v>
      </c>
      <c r="D177" t="s">
        <v>28</v>
      </c>
      <c r="E177" s="1">
        <v>84</v>
      </c>
      <c r="F177" s="1">
        <v>84</v>
      </c>
      <c r="G177" s="1">
        <v>0</v>
      </c>
      <c r="H177" s="1">
        <v>0</v>
      </c>
      <c r="I177" s="1">
        <v>0</v>
      </c>
      <c r="J177" t="s">
        <v>14</v>
      </c>
      <c r="K177" s="12">
        <f t="shared" si="2"/>
        <v>0</v>
      </c>
    </row>
    <row r="178" spans="1:11" x14ac:dyDescent="0.2">
      <c r="A178" s="11">
        <v>45870</v>
      </c>
      <c r="B178" t="s">
        <v>29</v>
      </c>
      <c r="C178" t="s">
        <v>25</v>
      </c>
      <c r="D178" t="s">
        <v>30</v>
      </c>
      <c r="E178" s="1">
        <v>134</v>
      </c>
      <c r="F178" s="1">
        <v>134</v>
      </c>
      <c r="G178" s="1">
        <v>0</v>
      </c>
      <c r="H178" s="1">
        <v>0</v>
      </c>
      <c r="I178" s="1">
        <v>0</v>
      </c>
      <c r="J178" t="s">
        <v>14</v>
      </c>
      <c r="K178" s="12">
        <f t="shared" si="2"/>
        <v>0</v>
      </c>
    </row>
    <row r="179" spans="1:11" x14ac:dyDescent="0.2">
      <c r="A179" s="11">
        <v>45870</v>
      </c>
      <c r="B179" t="s">
        <v>31</v>
      </c>
      <c r="C179" t="s">
        <v>25</v>
      </c>
      <c r="D179" t="s">
        <v>26</v>
      </c>
      <c r="E179" s="1">
        <v>160</v>
      </c>
      <c r="F179" s="1">
        <v>160</v>
      </c>
      <c r="G179" s="1">
        <v>0</v>
      </c>
      <c r="H179" s="1">
        <v>0</v>
      </c>
      <c r="I179" s="1">
        <v>0</v>
      </c>
      <c r="J179" t="s">
        <v>14</v>
      </c>
      <c r="K179" s="12">
        <f t="shared" si="2"/>
        <v>0</v>
      </c>
    </row>
    <row r="180" spans="1:11" x14ac:dyDescent="0.2">
      <c r="A180" s="11">
        <v>45870</v>
      </c>
      <c r="B180" t="s">
        <v>32</v>
      </c>
      <c r="C180" t="s">
        <v>33</v>
      </c>
      <c r="D180" t="s">
        <v>34</v>
      </c>
      <c r="E180" s="1">
        <v>134</v>
      </c>
      <c r="F180" s="1">
        <v>134</v>
      </c>
      <c r="G180" s="1">
        <v>0</v>
      </c>
      <c r="H180" s="1">
        <v>0</v>
      </c>
      <c r="I180" s="1">
        <v>0</v>
      </c>
      <c r="J180" t="s">
        <v>14</v>
      </c>
      <c r="K180" s="12">
        <f t="shared" si="2"/>
        <v>0</v>
      </c>
    </row>
    <row r="181" spans="1:11" x14ac:dyDescent="0.2">
      <c r="A181" s="11">
        <v>45870</v>
      </c>
      <c r="B181" t="s">
        <v>35</v>
      </c>
      <c r="C181" t="s">
        <v>33</v>
      </c>
      <c r="D181" t="s">
        <v>34</v>
      </c>
      <c r="E181" s="1">
        <v>151</v>
      </c>
      <c r="F181" s="1">
        <v>160</v>
      </c>
      <c r="G181" s="1">
        <v>9</v>
      </c>
      <c r="H181" s="1">
        <v>0</v>
      </c>
      <c r="I181" s="1">
        <v>0</v>
      </c>
      <c r="J181" t="s">
        <v>14</v>
      </c>
      <c r="K181" s="12">
        <f t="shared" si="2"/>
        <v>0</v>
      </c>
    </row>
    <row r="182" spans="1:11" x14ac:dyDescent="0.2">
      <c r="A182" s="11">
        <v>45870</v>
      </c>
      <c r="B182" t="s">
        <v>36</v>
      </c>
      <c r="C182" t="s">
        <v>33</v>
      </c>
      <c r="D182" t="s">
        <v>34</v>
      </c>
      <c r="E182" s="1">
        <v>101</v>
      </c>
      <c r="F182" s="1">
        <v>101</v>
      </c>
      <c r="G182" s="1">
        <v>0</v>
      </c>
      <c r="H182" s="1">
        <v>0</v>
      </c>
      <c r="I182" s="1">
        <v>0</v>
      </c>
      <c r="J182" t="s">
        <v>14</v>
      </c>
      <c r="K182" s="12">
        <f t="shared" si="2"/>
        <v>0</v>
      </c>
    </row>
    <row r="183" spans="1:11" x14ac:dyDescent="0.2">
      <c r="A183" s="11">
        <v>45870</v>
      </c>
      <c r="B183" t="s">
        <v>37</v>
      </c>
      <c r="C183" t="s">
        <v>33</v>
      </c>
      <c r="D183" t="s">
        <v>23</v>
      </c>
      <c r="E183" s="1">
        <v>151</v>
      </c>
      <c r="F183" s="1">
        <v>129</v>
      </c>
      <c r="G183" s="1">
        <v>0</v>
      </c>
      <c r="H183" s="1">
        <v>22</v>
      </c>
      <c r="I183" s="1">
        <v>3</v>
      </c>
      <c r="J183" t="s">
        <v>18</v>
      </c>
      <c r="K183" s="12">
        <f t="shared" si="2"/>
        <v>0.14569536423841059</v>
      </c>
    </row>
    <row r="184" spans="1:11" x14ac:dyDescent="0.2">
      <c r="A184" s="11">
        <v>45870</v>
      </c>
      <c r="B184" t="s">
        <v>39</v>
      </c>
      <c r="C184" t="s">
        <v>33</v>
      </c>
      <c r="D184" t="s">
        <v>34</v>
      </c>
      <c r="E184" s="1">
        <v>118</v>
      </c>
      <c r="F184" s="1">
        <v>118</v>
      </c>
      <c r="G184" s="1">
        <v>0</v>
      </c>
      <c r="H184" s="1">
        <v>0</v>
      </c>
      <c r="I184" s="1">
        <v>0</v>
      </c>
      <c r="J184" t="s">
        <v>14</v>
      </c>
      <c r="K184" s="12">
        <f t="shared" si="2"/>
        <v>0</v>
      </c>
    </row>
    <row r="185" spans="1:11" x14ac:dyDescent="0.2">
      <c r="A185" s="11">
        <v>45870</v>
      </c>
      <c r="B185" t="s">
        <v>40</v>
      </c>
      <c r="C185" t="s">
        <v>41</v>
      </c>
      <c r="D185" t="s">
        <v>42</v>
      </c>
      <c r="E185" s="1">
        <v>151</v>
      </c>
      <c r="F185" s="1">
        <v>151</v>
      </c>
      <c r="G185" s="1">
        <v>0</v>
      </c>
      <c r="H185" s="1">
        <v>0</v>
      </c>
      <c r="I185" s="1">
        <v>0</v>
      </c>
      <c r="J185" t="s">
        <v>14</v>
      </c>
      <c r="K185" s="12">
        <f t="shared" si="2"/>
        <v>0</v>
      </c>
    </row>
    <row r="186" spans="1:11" x14ac:dyDescent="0.2">
      <c r="A186" s="11">
        <v>45870</v>
      </c>
      <c r="B186" t="s">
        <v>43</v>
      </c>
      <c r="C186" t="s">
        <v>41</v>
      </c>
      <c r="D186" t="s">
        <v>44</v>
      </c>
      <c r="E186" s="1">
        <v>134</v>
      </c>
      <c r="F186" s="1">
        <v>141</v>
      </c>
      <c r="G186" s="1">
        <v>7</v>
      </c>
      <c r="H186" s="1">
        <v>0</v>
      </c>
      <c r="I186" s="1">
        <v>0</v>
      </c>
      <c r="J186" t="s">
        <v>14</v>
      </c>
      <c r="K186" s="12">
        <f t="shared" si="2"/>
        <v>0</v>
      </c>
    </row>
    <row r="187" spans="1:11" x14ac:dyDescent="0.2">
      <c r="A187" s="11">
        <v>45870</v>
      </c>
      <c r="B187" t="s">
        <v>45</v>
      </c>
      <c r="C187" t="s">
        <v>41</v>
      </c>
      <c r="D187" t="s">
        <v>46</v>
      </c>
      <c r="E187" s="1">
        <v>101</v>
      </c>
      <c r="F187" s="1">
        <v>104</v>
      </c>
      <c r="G187" s="1">
        <v>3</v>
      </c>
      <c r="H187" s="1">
        <v>0</v>
      </c>
      <c r="I187" s="1">
        <v>0</v>
      </c>
      <c r="J187" t="s">
        <v>14</v>
      </c>
      <c r="K187" s="12">
        <f t="shared" si="2"/>
        <v>0</v>
      </c>
    </row>
    <row r="188" spans="1:11" x14ac:dyDescent="0.2">
      <c r="A188" s="11">
        <v>45870</v>
      </c>
      <c r="B188" t="s">
        <v>47</v>
      </c>
      <c r="C188" t="s">
        <v>41</v>
      </c>
      <c r="D188" t="s">
        <v>48</v>
      </c>
      <c r="E188" s="1">
        <v>134</v>
      </c>
      <c r="F188" s="1">
        <v>139</v>
      </c>
      <c r="G188" s="1">
        <v>5</v>
      </c>
      <c r="H188" s="1">
        <v>0</v>
      </c>
      <c r="I188" s="1">
        <v>0</v>
      </c>
      <c r="J188" t="s">
        <v>14</v>
      </c>
      <c r="K188" s="12">
        <f t="shared" si="2"/>
        <v>0</v>
      </c>
    </row>
    <row r="189" spans="1:11" x14ac:dyDescent="0.2">
      <c r="A189" s="11">
        <v>45870</v>
      </c>
      <c r="B189" t="s">
        <v>49</v>
      </c>
      <c r="C189" t="s">
        <v>50</v>
      </c>
      <c r="D189" t="s">
        <v>51</v>
      </c>
      <c r="E189" s="1">
        <v>160</v>
      </c>
      <c r="F189" s="1">
        <v>160</v>
      </c>
      <c r="G189" s="1">
        <v>0</v>
      </c>
      <c r="H189" s="1">
        <v>0</v>
      </c>
      <c r="I189" s="1">
        <v>0</v>
      </c>
      <c r="J189" t="s">
        <v>14</v>
      </c>
      <c r="K189" s="12">
        <f t="shared" si="2"/>
        <v>0</v>
      </c>
    </row>
    <row r="190" spans="1:11" x14ac:dyDescent="0.2">
      <c r="A190" s="11">
        <v>45870</v>
      </c>
      <c r="B190" t="s">
        <v>52</v>
      </c>
      <c r="C190" t="s">
        <v>50</v>
      </c>
      <c r="D190" t="s">
        <v>53</v>
      </c>
      <c r="E190" s="1">
        <v>151</v>
      </c>
      <c r="F190" s="1">
        <v>151</v>
      </c>
      <c r="G190" s="1">
        <v>0</v>
      </c>
      <c r="H190" s="1">
        <v>0</v>
      </c>
      <c r="I190" s="1">
        <v>0</v>
      </c>
      <c r="J190" t="s">
        <v>14</v>
      </c>
      <c r="K190" s="12">
        <f t="shared" si="2"/>
        <v>0</v>
      </c>
    </row>
    <row r="191" spans="1:11" x14ac:dyDescent="0.2">
      <c r="A191" s="11">
        <v>45870</v>
      </c>
      <c r="B191" t="s">
        <v>54</v>
      </c>
      <c r="C191" t="s">
        <v>50</v>
      </c>
      <c r="D191" t="s">
        <v>55</v>
      </c>
      <c r="E191" s="1">
        <v>134</v>
      </c>
      <c r="F191" s="1">
        <v>141</v>
      </c>
      <c r="G191" s="1">
        <v>7</v>
      </c>
      <c r="H191" s="1">
        <v>0</v>
      </c>
      <c r="I191" s="1">
        <v>0</v>
      </c>
      <c r="J191" t="s">
        <v>14</v>
      </c>
      <c r="K191" s="12">
        <f t="shared" si="2"/>
        <v>0</v>
      </c>
    </row>
    <row r="192" spans="1:11" x14ac:dyDescent="0.2">
      <c r="A192" s="11">
        <v>45870</v>
      </c>
      <c r="B192" t="s">
        <v>56</v>
      </c>
      <c r="C192" t="s">
        <v>50</v>
      </c>
      <c r="D192" t="s">
        <v>57</v>
      </c>
      <c r="E192" s="1">
        <v>151</v>
      </c>
      <c r="F192" s="1">
        <v>159</v>
      </c>
      <c r="G192" s="1">
        <v>8</v>
      </c>
      <c r="H192" s="1">
        <v>0</v>
      </c>
      <c r="I192" s="1">
        <v>0</v>
      </c>
      <c r="J192" t="s">
        <v>14</v>
      </c>
      <c r="K192" s="12">
        <f t="shared" si="2"/>
        <v>0</v>
      </c>
    </row>
    <row r="193" spans="1:11" x14ac:dyDescent="0.2">
      <c r="A193" s="11">
        <v>45870</v>
      </c>
      <c r="B193" t="s">
        <v>58</v>
      </c>
      <c r="C193" t="s">
        <v>50</v>
      </c>
      <c r="D193" t="s">
        <v>23</v>
      </c>
      <c r="E193" s="1">
        <v>151</v>
      </c>
      <c r="F193" s="1">
        <v>151</v>
      </c>
      <c r="G193" s="1">
        <v>0</v>
      </c>
      <c r="H193" s="1">
        <v>0</v>
      </c>
      <c r="I193" s="1">
        <v>0</v>
      </c>
      <c r="J193" t="s">
        <v>14</v>
      </c>
      <c r="K193" s="12">
        <f t="shared" si="2"/>
        <v>0</v>
      </c>
    </row>
    <row r="194" spans="1:11" x14ac:dyDescent="0.2">
      <c r="A194" s="11">
        <v>45901</v>
      </c>
      <c r="B194" t="s">
        <v>11</v>
      </c>
      <c r="C194" t="s">
        <v>12</v>
      </c>
      <c r="D194" t="s">
        <v>13</v>
      </c>
      <c r="E194" s="1">
        <v>141</v>
      </c>
      <c r="F194" s="1">
        <v>146</v>
      </c>
      <c r="G194" s="1">
        <v>5</v>
      </c>
      <c r="H194" s="1">
        <v>0</v>
      </c>
      <c r="I194" s="1">
        <v>0</v>
      </c>
      <c r="J194" t="s">
        <v>14</v>
      </c>
      <c r="K194" s="12">
        <f t="shared" si="2"/>
        <v>0</v>
      </c>
    </row>
    <row r="195" spans="1:11" x14ac:dyDescent="0.2">
      <c r="A195" s="11">
        <v>45901</v>
      </c>
      <c r="B195" t="s">
        <v>15</v>
      </c>
      <c r="C195" t="s">
        <v>12</v>
      </c>
      <c r="D195" t="s">
        <v>16</v>
      </c>
      <c r="E195" s="1">
        <v>158</v>
      </c>
      <c r="F195" s="1">
        <v>158</v>
      </c>
      <c r="G195" s="1">
        <v>0</v>
      </c>
      <c r="H195" s="1">
        <v>0</v>
      </c>
      <c r="I195" s="1">
        <v>0</v>
      </c>
      <c r="J195" t="s">
        <v>14</v>
      </c>
      <c r="K195" s="12">
        <f t="shared" ref="K195:K258" si="3">IFERROR(H195/E195,0)</f>
        <v>0</v>
      </c>
    </row>
    <row r="196" spans="1:11" x14ac:dyDescent="0.2">
      <c r="A196" s="11">
        <v>45901</v>
      </c>
      <c r="B196" t="s">
        <v>17</v>
      </c>
      <c r="C196" t="s">
        <v>12</v>
      </c>
      <c r="D196" t="s">
        <v>13</v>
      </c>
      <c r="E196" s="1">
        <v>106</v>
      </c>
      <c r="F196" s="1">
        <v>0</v>
      </c>
      <c r="G196" s="1">
        <v>0</v>
      </c>
      <c r="H196" s="1">
        <v>106</v>
      </c>
      <c r="I196" s="1">
        <v>22</v>
      </c>
      <c r="J196" t="s">
        <v>59</v>
      </c>
      <c r="K196" s="12">
        <f t="shared" si="3"/>
        <v>1</v>
      </c>
    </row>
    <row r="197" spans="1:11" x14ac:dyDescent="0.2">
      <c r="A197" s="11">
        <v>45901</v>
      </c>
      <c r="B197" t="s">
        <v>19</v>
      </c>
      <c r="C197" t="s">
        <v>12</v>
      </c>
      <c r="D197" t="s">
        <v>16</v>
      </c>
      <c r="E197" s="1">
        <v>158</v>
      </c>
      <c r="F197" s="1">
        <v>158</v>
      </c>
      <c r="G197" s="1">
        <v>0</v>
      </c>
      <c r="H197" s="1">
        <v>0</v>
      </c>
      <c r="I197" s="1">
        <v>0</v>
      </c>
      <c r="J197" t="s">
        <v>14</v>
      </c>
      <c r="K197" s="12">
        <f t="shared" si="3"/>
        <v>0</v>
      </c>
    </row>
    <row r="198" spans="1:11" x14ac:dyDescent="0.2">
      <c r="A198" s="11">
        <v>45901</v>
      </c>
      <c r="B198" t="s">
        <v>20</v>
      </c>
      <c r="C198" t="s">
        <v>12</v>
      </c>
      <c r="D198" t="s">
        <v>21</v>
      </c>
      <c r="E198" s="1">
        <v>123</v>
      </c>
      <c r="F198" s="1">
        <v>126</v>
      </c>
      <c r="G198" s="1">
        <v>3</v>
      </c>
      <c r="H198" s="1">
        <v>0</v>
      </c>
      <c r="I198" s="1">
        <v>0</v>
      </c>
      <c r="J198" t="s">
        <v>14</v>
      </c>
      <c r="K198" s="12">
        <f t="shared" si="3"/>
        <v>0</v>
      </c>
    </row>
    <row r="199" spans="1:11" x14ac:dyDescent="0.2">
      <c r="A199" s="11">
        <v>45901</v>
      </c>
      <c r="B199" t="s">
        <v>22</v>
      </c>
      <c r="C199" t="s">
        <v>12</v>
      </c>
      <c r="D199" t="s">
        <v>23</v>
      </c>
      <c r="E199" s="1">
        <v>158</v>
      </c>
      <c r="F199" s="1">
        <v>165</v>
      </c>
      <c r="G199" s="1">
        <v>7</v>
      </c>
      <c r="H199" s="1">
        <v>0</v>
      </c>
      <c r="I199" s="1">
        <v>0</v>
      </c>
      <c r="J199" t="s">
        <v>14</v>
      </c>
      <c r="K199" s="12">
        <f t="shared" si="3"/>
        <v>0</v>
      </c>
    </row>
    <row r="200" spans="1:11" x14ac:dyDescent="0.2">
      <c r="A200" s="11">
        <v>45901</v>
      </c>
      <c r="B200" t="s">
        <v>24</v>
      </c>
      <c r="C200" t="s">
        <v>25</v>
      </c>
      <c r="D200" t="s">
        <v>26</v>
      </c>
      <c r="E200" s="1">
        <v>167</v>
      </c>
      <c r="F200" s="1">
        <v>167</v>
      </c>
      <c r="G200" s="1">
        <v>0</v>
      </c>
      <c r="H200" s="1">
        <v>0</v>
      </c>
      <c r="I200" s="1">
        <v>0</v>
      </c>
      <c r="J200" t="s">
        <v>14</v>
      </c>
      <c r="K200" s="12">
        <f t="shared" si="3"/>
        <v>0</v>
      </c>
    </row>
    <row r="201" spans="1:11" x14ac:dyDescent="0.2">
      <c r="A201" s="11">
        <v>45901</v>
      </c>
      <c r="B201" t="s">
        <v>27</v>
      </c>
      <c r="C201" t="s">
        <v>25</v>
      </c>
      <c r="D201" t="s">
        <v>28</v>
      </c>
      <c r="E201" s="1">
        <v>88</v>
      </c>
      <c r="F201" s="1">
        <v>88</v>
      </c>
      <c r="G201" s="1">
        <v>0</v>
      </c>
      <c r="H201" s="1">
        <v>0</v>
      </c>
      <c r="I201" s="1">
        <v>0</v>
      </c>
      <c r="J201" t="s">
        <v>14</v>
      </c>
      <c r="K201" s="12">
        <f t="shared" si="3"/>
        <v>0</v>
      </c>
    </row>
    <row r="202" spans="1:11" x14ac:dyDescent="0.2">
      <c r="A202" s="11">
        <v>45901</v>
      </c>
      <c r="B202" t="s">
        <v>29</v>
      </c>
      <c r="C202" t="s">
        <v>25</v>
      </c>
      <c r="D202" t="s">
        <v>30</v>
      </c>
      <c r="E202" s="1">
        <v>141</v>
      </c>
      <c r="F202" s="1">
        <v>143</v>
      </c>
      <c r="G202" s="1">
        <v>2</v>
      </c>
      <c r="H202" s="1">
        <v>0</v>
      </c>
      <c r="I202" s="1">
        <v>0</v>
      </c>
      <c r="J202" t="s">
        <v>14</v>
      </c>
      <c r="K202" s="12">
        <f t="shared" si="3"/>
        <v>0</v>
      </c>
    </row>
    <row r="203" spans="1:11" x14ac:dyDescent="0.2">
      <c r="A203" s="11">
        <v>45901</v>
      </c>
      <c r="B203" t="s">
        <v>31</v>
      </c>
      <c r="C203" t="s">
        <v>25</v>
      </c>
      <c r="D203" t="s">
        <v>26</v>
      </c>
      <c r="E203" s="1">
        <v>167</v>
      </c>
      <c r="F203" s="1">
        <v>152</v>
      </c>
      <c r="G203" s="1">
        <v>0</v>
      </c>
      <c r="H203" s="1">
        <v>15</v>
      </c>
      <c r="I203" s="1">
        <v>2</v>
      </c>
      <c r="J203" t="s">
        <v>18</v>
      </c>
      <c r="K203" s="12">
        <f t="shared" si="3"/>
        <v>8.9820359281437126E-2</v>
      </c>
    </row>
    <row r="204" spans="1:11" x14ac:dyDescent="0.2">
      <c r="A204" s="11">
        <v>45901</v>
      </c>
      <c r="B204" t="s">
        <v>32</v>
      </c>
      <c r="C204" t="s">
        <v>33</v>
      </c>
      <c r="D204" t="s">
        <v>34</v>
      </c>
      <c r="E204" s="1">
        <v>141</v>
      </c>
      <c r="F204" s="1">
        <v>141</v>
      </c>
      <c r="G204" s="1">
        <v>0</v>
      </c>
      <c r="H204" s="1">
        <v>0</v>
      </c>
      <c r="I204" s="1">
        <v>0</v>
      </c>
      <c r="J204" t="s">
        <v>14</v>
      </c>
      <c r="K204" s="12">
        <f t="shared" si="3"/>
        <v>0</v>
      </c>
    </row>
    <row r="205" spans="1:11" x14ac:dyDescent="0.2">
      <c r="A205" s="11">
        <v>45901</v>
      </c>
      <c r="B205" t="s">
        <v>35</v>
      </c>
      <c r="C205" t="s">
        <v>33</v>
      </c>
      <c r="D205" t="s">
        <v>34</v>
      </c>
      <c r="E205" s="1">
        <v>158</v>
      </c>
      <c r="F205" s="1">
        <v>144</v>
      </c>
      <c r="G205" s="1">
        <v>0</v>
      </c>
      <c r="H205" s="1">
        <v>14</v>
      </c>
      <c r="I205" s="1">
        <v>2</v>
      </c>
      <c r="J205" t="s">
        <v>18</v>
      </c>
      <c r="K205" s="12">
        <f t="shared" si="3"/>
        <v>8.8607594936708861E-2</v>
      </c>
    </row>
    <row r="206" spans="1:11" x14ac:dyDescent="0.2">
      <c r="A206" s="11">
        <v>45901</v>
      </c>
      <c r="B206" t="s">
        <v>36</v>
      </c>
      <c r="C206" t="s">
        <v>33</v>
      </c>
      <c r="D206" t="s">
        <v>34</v>
      </c>
      <c r="E206" s="1">
        <v>106</v>
      </c>
      <c r="F206" s="1">
        <v>107</v>
      </c>
      <c r="G206" s="1">
        <v>1</v>
      </c>
      <c r="H206" s="1">
        <v>0</v>
      </c>
      <c r="I206" s="1">
        <v>0</v>
      </c>
      <c r="J206" t="s">
        <v>14</v>
      </c>
      <c r="K206" s="12">
        <f t="shared" si="3"/>
        <v>0</v>
      </c>
    </row>
    <row r="207" spans="1:11" x14ac:dyDescent="0.2">
      <c r="A207" s="11">
        <v>45901</v>
      </c>
      <c r="B207" t="s">
        <v>37</v>
      </c>
      <c r="C207" t="s">
        <v>33</v>
      </c>
      <c r="D207" t="s">
        <v>23</v>
      </c>
      <c r="E207" s="1">
        <v>158</v>
      </c>
      <c r="F207" s="1">
        <v>158</v>
      </c>
      <c r="G207" s="1">
        <v>0</v>
      </c>
      <c r="H207" s="1">
        <v>0</v>
      </c>
      <c r="I207" s="1">
        <v>0</v>
      </c>
      <c r="J207" t="s">
        <v>14</v>
      </c>
      <c r="K207" s="12">
        <f t="shared" si="3"/>
        <v>0</v>
      </c>
    </row>
    <row r="208" spans="1:11" x14ac:dyDescent="0.2">
      <c r="A208" s="11">
        <v>45901</v>
      </c>
      <c r="B208" t="s">
        <v>39</v>
      </c>
      <c r="C208" t="s">
        <v>33</v>
      </c>
      <c r="D208" t="s">
        <v>34</v>
      </c>
      <c r="E208" s="1">
        <v>123</v>
      </c>
      <c r="F208" s="1">
        <v>123</v>
      </c>
      <c r="G208" s="1">
        <v>0</v>
      </c>
      <c r="H208" s="1">
        <v>0</v>
      </c>
      <c r="I208" s="1">
        <v>0</v>
      </c>
      <c r="J208" t="s">
        <v>14</v>
      </c>
      <c r="K208" s="12">
        <f t="shared" si="3"/>
        <v>0</v>
      </c>
    </row>
    <row r="209" spans="1:11" x14ac:dyDescent="0.2">
      <c r="A209" s="11">
        <v>45901</v>
      </c>
      <c r="B209" t="s">
        <v>40</v>
      </c>
      <c r="C209" t="s">
        <v>41</v>
      </c>
      <c r="D209" t="s">
        <v>42</v>
      </c>
      <c r="E209" s="1">
        <v>158</v>
      </c>
      <c r="F209" s="1">
        <v>154</v>
      </c>
      <c r="G209" s="1">
        <v>3</v>
      </c>
      <c r="H209" s="1">
        <v>7</v>
      </c>
      <c r="I209" s="1">
        <v>1</v>
      </c>
      <c r="J209" t="s">
        <v>18</v>
      </c>
      <c r="K209" s="12">
        <f t="shared" si="3"/>
        <v>4.4303797468354431E-2</v>
      </c>
    </row>
    <row r="210" spans="1:11" x14ac:dyDescent="0.2">
      <c r="A210" s="11">
        <v>45901</v>
      </c>
      <c r="B210" t="s">
        <v>43</v>
      </c>
      <c r="C210" t="s">
        <v>41</v>
      </c>
      <c r="D210" t="s">
        <v>44</v>
      </c>
      <c r="E210" s="1">
        <v>141</v>
      </c>
      <c r="F210" s="1">
        <v>141</v>
      </c>
      <c r="G210" s="1">
        <v>0</v>
      </c>
      <c r="H210" s="1">
        <v>0</v>
      </c>
      <c r="I210" s="1">
        <v>0</v>
      </c>
      <c r="J210" t="s">
        <v>14</v>
      </c>
      <c r="K210" s="12">
        <f t="shared" si="3"/>
        <v>0</v>
      </c>
    </row>
    <row r="211" spans="1:11" x14ac:dyDescent="0.2">
      <c r="A211" s="11">
        <v>45901</v>
      </c>
      <c r="B211" t="s">
        <v>45</v>
      </c>
      <c r="C211" t="s">
        <v>41</v>
      </c>
      <c r="D211" t="s">
        <v>46</v>
      </c>
      <c r="E211" s="1">
        <v>106</v>
      </c>
      <c r="F211" s="1">
        <v>106</v>
      </c>
      <c r="G211" s="1">
        <v>0</v>
      </c>
      <c r="H211" s="1">
        <v>0</v>
      </c>
      <c r="I211" s="1">
        <v>0</v>
      </c>
      <c r="J211" t="s">
        <v>14</v>
      </c>
      <c r="K211" s="12">
        <f t="shared" si="3"/>
        <v>0</v>
      </c>
    </row>
    <row r="212" spans="1:11" x14ac:dyDescent="0.2">
      <c r="A212" s="11">
        <v>45901</v>
      </c>
      <c r="B212" t="s">
        <v>47</v>
      </c>
      <c r="C212" t="s">
        <v>41</v>
      </c>
      <c r="D212" t="s">
        <v>48</v>
      </c>
      <c r="E212" s="1">
        <v>141</v>
      </c>
      <c r="F212" s="1">
        <v>141</v>
      </c>
      <c r="G212" s="1">
        <v>0</v>
      </c>
      <c r="H212" s="1">
        <v>0</v>
      </c>
      <c r="I212" s="1">
        <v>0</v>
      </c>
      <c r="J212" t="s">
        <v>14</v>
      </c>
      <c r="K212" s="12">
        <f t="shared" si="3"/>
        <v>0</v>
      </c>
    </row>
    <row r="213" spans="1:11" x14ac:dyDescent="0.2">
      <c r="A213" s="11">
        <v>45901</v>
      </c>
      <c r="B213" t="s">
        <v>49</v>
      </c>
      <c r="C213" t="s">
        <v>50</v>
      </c>
      <c r="D213" t="s">
        <v>51</v>
      </c>
      <c r="E213" s="1">
        <v>167</v>
      </c>
      <c r="F213" s="1">
        <v>167</v>
      </c>
      <c r="G213" s="1">
        <v>0</v>
      </c>
      <c r="H213" s="1">
        <v>0</v>
      </c>
      <c r="I213" s="1">
        <v>0</v>
      </c>
      <c r="J213" t="s">
        <v>14</v>
      </c>
      <c r="K213" s="12">
        <f t="shared" si="3"/>
        <v>0</v>
      </c>
    </row>
    <row r="214" spans="1:11" x14ac:dyDescent="0.2">
      <c r="A214" s="11">
        <v>45901</v>
      </c>
      <c r="B214" t="s">
        <v>52</v>
      </c>
      <c r="C214" t="s">
        <v>50</v>
      </c>
      <c r="D214" t="s">
        <v>53</v>
      </c>
      <c r="E214" s="1">
        <v>158</v>
      </c>
      <c r="F214" s="1">
        <v>158</v>
      </c>
      <c r="G214" s="1">
        <v>0</v>
      </c>
      <c r="H214" s="1">
        <v>0</v>
      </c>
      <c r="I214" s="1">
        <v>0</v>
      </c>
      <c r="J214" t="s">
        <v>14</v>
      </c>
      <c r="K214" s="12">
        <f t="shared" si="3"/>
        <v>0</v>
      </c>
    </row>
    <row r="215" spans="1:11" x14ac:dyDescent="0.2">
      <c r="A215" s="11">
        <v>45901</v>
      </c>
      <c r="B215" t="s">
        <v>54</v>
      </c>
      <c r="C215" t="s">
        <v>50</v>
      </c>
      <c r="D215" t="s">
        <v>55</v>
      </c>
      <c r="E215" s="1">
        <v>141</v>
      </c>
      <c r="F215" s="1">
        <v>141</v>
      </c>
      <c r="G215" s="1">
        <v>0</v>
      </c>
      <c r="H215" s="1">
        <v>0</v>
      </c>
      <c r="I215" s="1">
        <v>0</v>
      </c>
      <c r="J215" t="s">
        <v>14</v>
      </c>
      <c r="K215" s="12">
        <f t="shared" si="3"/>
        <v>0</v>
      </c>
    </row>
    <row r="216" spans="1:11" x14ac:dyDescent="0.2">
      <c r="A216" s="11">
        <v>45901</v>
      </c>
      <c r="B216" t="s">
        <v>56</v>
      </c>
      <c r="C216" t="s">
        <v>50</v>
      </c>
      <c r="D216" t="s">
        <v>57</v>
      </c>
      <c r="E216" s="1">
        <v>158</v>
      </c>
      <c r="F216" s="1">
        <v>158</v>
      </c>
      <c r="G216" s="1">
        <v>0</v>
      </c>
      <c r="H216" s="1">
        <v>0</v>
      </c>
      <c r="I216" s="1">
        <v>0</v>
      </c>
      <c r="J216" t="s">
        <v>14</v>
      </c>
      <c r="K216" s="12">
        <f t="shared" si="3"/>
        <v>0</v>
      </c>
    </row>
    <row r="217" spans="1:11" x14ac:dyDescent="0.2">
      <c r="A217" s="11">
        <v>45901</v>
      </c>
      <c r="B217" t="s">
        <v>58</v>
      </c>
      <c r="C217" t="s">
        <v>50</v>
      </c>
      <c r="D217" t="s">
        <v>23</v>
      </c>
      <c r="E217" s="1">
        <v>158</v>
      </c>
      <c r="F217" s="1">
        <v>151</v>
      </c>
      <c r="G217" s="1">
        <v>0</v>
      </c>
      <c r="H217" s="1">
        <v>7</v>
      </c>
      <c r="I217" s="1">
        <v>1</v>
      </c>
      <c r="J217" t="s">
        <v>18</v>
      </c>
      <c r="K217" s="12">
        <f t="shared" si="3"/>
        <v>4.4303797468354431E-2</v>
      </c>
    </row>
    <row r="218" spans="1:11" x14ac:dyDescent="0.2">
      <c r="A218" s="11">
        <v>45931</v>
      </c>
      <c r="B218" t="s">
        <v>11</v>
      </c>
      <c r="C218" t="s">
        <v>12</v>
      </c>
      <c r="D218" t="s">
        <v>13</v>
      </c>
      <c r="E218" s="1">
        <v>141</v>
      </c>
      <c r="F218" s="1">
        <v>122</v>
      </c>
      <c r="G218" s="1">
        <v>0</v>
      </c>
      <c r="H218" s="1">
        <v>19</v>
      </c>
      <c r="I218" s="1">
        <v>3</v>
      </c>
      <c r="J218" t="s">
        <v>18</v>
      </c>
      <c r="K218" s="12">
        <f t="shared" si="3"/>
        <v>0.13475177304964539</v>
      </c>
    </row>
    <row r="219" spans="1:11" x14ac:dyDescent="0.2">
      <c r="A219" s="11">
        <v>45931</v>
      </c>
      <c r="B219" t="s">
        <v>15</v>
      </c>
      <c r="C219" t="s">
        <v>12</v>
      </c>
      <c r="D219" t="s">
        <v>16</v>
      </c>
      <c r="E219" s="1">
        <v>158</v>
      </c>
      <c r="F219" s="1">
        <v>158</v>
      </c>
      <c r="G219" s="1">
        <v>0</v>
      </c>
      <c r="H219" s="1">
        <v>0</v>
      </c>
      <c r="I219" s="1">
        <v>0</v>
      </c>
      <c r="J219" t="s">
        <v>14</v>
      </c>
      <c r="K219" s="12">
        <f t="shared" si="3"/>
        <v>0</v>
      </c>
    </row>
    <row r="220" spans="1:11" x14ac:dyDescent="0.2">
      <c r="A220" s="11">
        <v>45931</v>
      </c>
      <c r="B220" t="s">
        <v>17</v>
      </c>
      <c r="C220" t="s">
        <v>12</v>
      </c>
      <c r="D220" t="s">
        <v>13</v>
      </c>
      <c r="E220" s="1">
        <v>106</v>
      </c>
      <c r="F220" s="1">
        <v>106</v>
      </c>
      <c r="G220" s="1">
        <v>0</v>
      </c>
      <c r="H220" s="1">
        <v>0</v>
      </c>
      <c r="I220" s="1">
        <v>0</v>
      </c>
      <c r="J220" t="s">
        <v>14</v>
      </c>
      <c r="K220" s="12">
        <f t="shared" si="3"/>
        <v>0</v>
      </c>
    </row>
    <row r="221" spans="1:11" x14ac:dyDescent="0.2">
      <c r="A221" s="11">
        <v>45931</v>
      </c>
      <c r="B221" t="s">
        <v>19</v>
      </c>
      <c r="C221" t="s">
        <v>12</v>
      </c>
      <c r="D221" t="s">
        <v>16</v>
      </c>
      <c r="E221" s="1">
        <v>158</v>
      </c>
      <c r="F221" s="1">
        <v>158</v>
      </c>
      <c r="G221" s="1">
        <v>0</v>
      </c>
      <c r="H221" s="1">
        <v>0</v>
      </c>
      <c r="I221" s="1">
        <v>0</v>
      </c>
      <c r="J221" t="s">
        <v>14</v>
      </c>
      <c r="K221" s="12">
        <f t="shared" si="3"/>
        <v>0</v>
      </c>
    </row>
    <row r="222" spans="1:11" x14ac:dyDescent="0.2">
      <c r="A222" s="11">
        <v>45931</v>
      </c>
      <c r="B222" t="s">
        <v>20</v>
      </c>
      <c r="C222" t="s">
        <v>12</v>
      </c>
      <c r="D222" t="s">
        <v>21</v>
      </c>
      <c r="E222" s="1">
        <v>123</v>
      </c>
      <c r="F222" s="1">
        <v>124</v>
      </c>
      <c r="G222" s="1">
        <v>1</v>
      </c>
      <c r="H222" s="1">
        <v>0</v>
      </c>
      <c r="I222" s="1">
        <v>0</v>
      </c>
      <c r="J222" t="s">
        <v>14</v>
      </c>
      <c r="K222" s="12">
        <f t="shared" si="3"/>
        <v>0</v>
      </c>
    </row>
    <row r="223" spans="1:11" x14ac:dyDescent="0.2">
      <c r="A223" s="11">
        <v>45931</v>
      </c>
      <c r="B223" t="s">
        <v>22</v>
      </c>
      <c r="C223" t="s">
        <v>12</v>
      </c>
      <c r="D223" t="s">
        <v>23</v>
      </c>
      <c r="E223" s="1">
        <v>158</v>
      </c>
      <c r="F223" s="1">
        <v>0</v>
      </c>
      <c r="G223" s="1">
        <v>0</v>
      </c>
      <c r="H223" s="1">
        <v>158</v>
      </c>
      <c r="I223" s="1">
        <v>22</v>
      </c>
      <c r="J223" t="s">
        <v>59</v>
      </c>
      <c r="K223" s="12">
        <f t="shared" si="3"/>
        <v>1</v>
      </c>
    </row>
    <row r="224" spans="1:11" x14ac:dyDescent="0.2">
      <c r="A224" s="11">
        <v>45931</v>
      </c>
      <c r="B224" t="s">
        <v>24</v>
      </c>
      <c r="C224" t="s">
        <v>25</v>
      </c>
      <c r="D224" t="s">
        <v>26</v>
      </c>
      <c r="E224" s="1">
        <v>167</v>
      </c>
      <c r="F224" s="1">
        <v>167</v>
      </c>
      <c r="G224" s="1">
        <v>0</v>
      </c>
      <c r="H224" s="1">
        <v>0</v>
      </c>
      <c r="I224" s="1">
        <v>0</v>
      </c>
      <c r="J224" t="s">
        <v>14</v>
      </c>
      <c r="K224" s="12">
        <f t="shared" si="3"/>
        <v>0</v>
      </c>
    </row>
    <row r="225" spans="1:11" x14ac:dyDescent="0.2">
      <c r="A225" s="11">
        <v>45931</v>
      </c>
      <c r="B225" t="s">
        <v>27</v>
      </c>
      <c r="C225" t="s">
        <v>25</v>
      </c>
      <c r="D225" t="s">
        <v>28</v>
      </c>
      <c r="E225" s="1">
        <v>88</v>
      </c>
      <c r="F225" s="1">
        <v>93</v>
      </c>
      <c r="G225" s="1">
        <v>5</v>
      </c>
      <c r="H225" s="1">
        <v>0</v>
      </c>
      <c r="I225" s="1">
        <v>0</v>
      </c>
      <c r="J225" t="s">
        <v>14</v>
      </c>
      <c r="K225" s="12">
        <f t="shared" si="3"/>
        <v>0</v>
      </c>
    </row>
    <row r="226" spans="1:11" x14ac:dyDescent="0.2">
      <c r="A226" s="11">
        <v>45931</v>
      </c>
      <c r="B226" t="s">
        <v>29</v>
      </c>
      <c r="C226" t="s">
        <v>25</v>
      </c>
      <c r="D226" t="s">
        <v>30</v>
      </c>
      <c r="E226" s="1">
        <v>141</v>
      </c>
      <c r="F226" s="1">
        <v>147</v>
      </c>
      <c r="G226" s="1">
        <v>6</v>
      </c>
      <c r="H226" s="1">
        <v>0</v>
      </c>
      <c r="I226" s="1">
        <v>0</v>
      </c>
      <c r="J226" t="s">
        <v>14</v>
      </c>
      <c r="K226" s="12">
        <f t="shared" si="3"/>
        <v>0</v>
      </c>
    </row>
    <row r="227" spans="1:11" x14ac:dyDescent="0.2">
      <c r="A227" s="11">
        <v>45931</v>
      </c>
      <c r="B227" t="s">
        <v>31</v>
      </c>
      <c r="C227" t="s">
        <v>25</v>
      </c>
      <c r="D227" t="s">
        <v>26</v>
      </c>
      <c r="E227" s="1">
        <v>167</v>
      </c>
      <c r="F227" s="1">
        <v>167</v>
      </c>
      <c r="G227" s="1">
        <v>0</v>
      </c>
      <c r="H227" s="1">
        <v>0</v>
      </c>
      <c r="I227" s="1">
        <v>0</v>
      </c>
      <c r="J227" t="s">
        <v>14</v>
      </c>
      <c r="K227" s="12">
        <f t="shared" si="3"/>
        <v>0</v>
      </c>
    </row>
    <row r="228" spans="1:11" x14ac:dyDescent="0.2">
      <c r="A228" s="11">
        <v>45931</v>
      </c>
      <c r="B228" t="s">
        <v>32</v>
      </c>
      <c r="C228" t="s">
        <v>33</v>
      </c>
      <c r="D228" t="s">
        <v>34</v>
      </c>
      <c r="E228" s="1">
        <v>141</v>
      </c>
      <c r="F228" s="1">
        <v>141</v>
      </c>
      <c r="G228" s="1">
        <v>0</v>
      </c>
      <c r="H228" s="1">
        <v>0</v>
      </c>
      <c r="I228" s="1">
        <v>0</v>
      </c>
      <c r="J228" t="s">
        <v>14</v>
      </c>
      <c r="K228" s="12">
        <f t="shared" si="3"/>
        <v>0</v>
      </c>
    </row>
    <row r="229" spans="1:11" x14ac:dyDescent="0.2">
      <c r="A229" s="11">
        <v>45931</v>
      </c>
      <c r="B229" t="s">
        <v>35</v>
      </c>
      <c r="C229" t="s">
        <v>33</v>
      </c>
      <c r="D229" t="s">
        <v>34</v>
      </c>
      <c r="E229" s="1">
        <v>158</v>
      </c>
      <c r="F229" s="1">
        <v>161</v>
      </c>
      <c r="G229" s="1">
        <v>3</v>
      </c>
      <c r="H229" s="1">
        <v>0</v>
      </c>
      <c r="I229" s="1">
        <v>0</v>
      </c>
      <c r="J229" t="s">
        <v>14</v>
      </c>
      <c r="K229" s="12">
        <f t="shared" si="3"/>
        <v>0</v>
      </c>
    </row>
    <row r="230" spans="1:11" x14ac:dyDescent="0.2">
      <c r="A230" s="11">
        <v>45931</v>
      </c>
      <c r="B230" t="s">
        <v>36</v>
      </c>
      <c r="C230" t="s">
        <v>33</v>
      </c>
      <c r="D230" t="s">
        <v>34</v>
      </c>
      <c r="E230" s="1">
        <v>106</v>
      </c>
      <c r="F230" s="1">
        <v>0</v>
      </c>
      <c r="G230" s="1">
        <v>0</v>
      </c>
      <c r="H230" s="1">
        <v>106</v>
      </c>
      <c r="I230" s="1">
        <v>22</v>
      </c>
      <c r="J230" t="s">
        <v>59</v>
      </c>
      <c r="K230" s="12">
        <f t="shared" si="3"/>
        <v>1</v>
      </c>
    </row>
    <row r="231" spans="1:11" x14ac:dyDescent="0.2">
      <c r="A231" s="11">
        <v>45931</v>
      </c>
      <c r="B231" t="s">
        <v>37</v>
      </c>
      <c r="C231" t="s">
        <v>33</v>
      </c>
      <c r="D231" t="s">
        <v>23</v>
      </c>
      <c r="E231" s="1">
        <v>158</v>
      </c>
      <c r="F231" s="1">
        <v>158</v>
      </c>
      <c r="G231" s="1">
        <v>0</v>
      </c>
      <c r="H231" s="1">
        <v>0</v>
      </c>
      <c r="I231" s="1">
        <v>0</v>
      </c>
      <c r="J231" t="s">
        <v>14</v>
      </c>
      <c r="K231" s="12">
        <f t="shared" si="3"/>
        <v>0</v>
      </c>
    </row>
    <row r="232" spans="1:11" x14ac:dyDescent="0.2">
      <c r="A232" s="11">
        <v>45931</v>
      </c>
      <c r="B232" t="s">
        <v>39</v>
      </c>
      <c r="C232" t="s">
        <v>33</v>
      </c>
      <c r="D232" t="s">
        <v>34</v>
      </c>
      <c r="E232" s="1">
        <v>123</v>
      </c>
      <c r="F232" s="1">
        <v>123</v>
      </c>
      <c r="G232" s="1">
        <v>0</v>
      </c>
      <c r="H232" s="1">
        <v>0</v>
      </c>
      <c r="I232" s="1">
        <v>0</v>
      </c>
      <c r="J232" t="s">
        <v>14</v>
      </c>
      <c r="K232" s="12">
        <f t="shared" si="3"/>
        <v>0</v>
      </c>
    </row>
    <row r="233" spans="1:11" x14ac:dyDescent="0.2">
      <c r="A233" s="11">
        <v>45931</v>
      </c>
      <c r="B233" t="s">
        <v>40</v>
      </c>
      <c r="C233" t="s">
        <v>41</v>
      </c>
      <c r="D233" t="s">
        <v>42</v>
      </c>
      <c r="E233" s="1">
        <v>158</v>
      </c>
      <c r="F233" s="1">
        <v>158</v>
      </c>
      <c r="G233" s="1">
        <v>0</v>
      </c>
      <c r="H233" s="1">
        <v>0</v>
      </c>
      <c r="I233" s="1">
        <v>0</v>
      </c>
      <c r="J233" t="s">
        <v>14</v>
      </c>
      <c r="K233" s="12">
        <f t="shared" si="3"/>
        <v>0</v>
      </c>
    </row>
    <row r="234" spans="1:11" x14ac:dyDescent="0.2">
      <c r="A234" s="11">
        <v>45931</v>
      </c>
      <c r="B234" t="s">
        <v>43</v>
      </c>
      <c r="C234" t="s">
        <v>41</v>
      </c>
      <c r="D234" t="s">
        <v>44</v>
      </c>
      <c r="E234" s="1">
        <v>141</v>
      </c>
      <c r="F234" s="1">
        <v>141</v>
      </c>
      <c r="G234" s="1">
        <v>0</v>
      </c>
      <c r="H234" s="1">
        <v>0</v>
      </c>
      <c r="I234" s="1">
        <v>0</v>
      </c>
      <c r="J234" t="s">
        <v>14</v>
      </c>
      <c r="K234" s="12">
        <f t="shared" si="3"/>
        <v>0</v>
      </c>
    </row>
    <row r="235" spans="1:11" x14ac:dyDescent="0.2">
      <c r="A235" s="11">
        <v>45931</v>
      </c>
      <c r="B235" t="s">
        <v>45</v>
      </c>
      <c r="C235" t="s">
        <v>41</v>
      </c>
      <c r="D235" t="s">
        <v>46</v>
      </c>
      <c r="E235" s="1">
        <v>106</v>
      </c>
      <c r="F235" s="1">
        <v>104</v>
      </c>
      <c r="G235" s="1">
        <v>8</v>
      </c>
      <c r="H235" s="1">
        <v>10</v>
      </c>
      <c r="I235" s="1">
        <v>2</v>
      </c>
      <c r="J235" t="s">
        <v>18</v>
      </c>
      <c r="K235" s="12">
        <f t="shared" si="3"/>
        <v>9.4339622641509441E-2</v>
      </c>
    </row>
    <row r="236" spans="1:11" x14ac:dyDescent="0.2">
      <c r="A236" s="11">
        <v>45931</v>
      </c>
      <c r="B236" t="s">
        <v>47</v>
      </c>
      <c r="C236" t="s">
        <v>41</v>
      </c>
      <c r="D236" t="s">
        <v>48</v>
      </c>
      <c r="E236" s="1">
        <v>141</v>
      </c>
      <c r="F236" s="1">
        <v>102</v>
      </c>
      <c r="G236" s="1">
        <v>6</v>
      </c>
      <c r="H236" s="1">
        <v>45</v>
      </c>
      <c r="I236" s="1">
        <v>7</v>
      </c>
      <c r="J236" t="s">
        <v>38</v>
      </c>
      <c r="K236" s="12">
        <f t="shared" si="3"/>
        <v>0.31914893617021278</v>
      </c>
    </row>
    <row r="237" spans="1:11" x14ac:dyDescent="0.2">
      <c r="A237" s="11">
        <v>45931</v>
      </c>
      <c r="B237" t="s">
        <v>49</v>
      </c>
      <c r="C237" t="s">
        <v>50</v>
      </c>
      <c r="D237" t="s">
        <v>51</v>
      </c>
      <c r="E237" s="1">
        <v>167</v>
      </c>
      <c r="F237" s="1">
        <v>167</v>
      </c>
      <c r="G237" s="1">
        <v>0</v>
      </c>
      <c r="H237" s="1">
        <v>0</v>
      </c>
      <c r="I237" s="1">
        <v>0</v>
      </c>
      <c r="J237" t="s">
        <v>14</v>
      </c>
      <c r="K237" s="12">
        <f t="shared" si="3"/>
        <v>0</v>
      </c>
    </row>
    <row r="238" spans="1:11" x14ac:dyDescent="0.2">
      <c r="A238" s="11">
        <v>45931</v>
      </c>
      <c r="B238" t="s">
        <v>52</v>
      </c>
      <c r="C238" t="s">
        <v>50</v>
      </c>
      <c r="D238" t="s">
        <v>53</v>
      </c>
      <c r="E238" s="1">
        <v>158</v>
      </c>
      <c r="F238" s="1">
        <v>164</v>
      </c>
      <c r="G238" s="1">
        <v>6</v>
      </c>
      <c r="H238" s="1">
        <v>0</v>
      </c>
      <c r="I238" s="1">
        <v>0</v>
      </c>
      <c r="J238" t="s">
        <v>14</v>
      </c>
      <c r="K238" s="12">
        <f t="shared" si="3"/>
        <v>0</v>
      </c>
    </row>
    <row r="239" spans="1:11" x14ac:dyDescent="0.2">
      <c r="A239" s="11">
        <v>45931</v>
      </c>
      <c r="B239" t="s">
        <v>54</v>
      </c>
      <c r="C239" t="s">
        <v>50</v>
      </c>
      <c r="D239" t="s">
        <v>55</v>
      </c>
      <c r="E239" s="1">
        <v>141</v>
      </c>
      <c r="F239" s="1">
        <v>141</v>
      </c>
      <c r="G239" s="1">
        <v>0</v>
      </c>
      <c r="H239" s="1">
        <v>0</v>
      </c>
      <c r="I239" s="1">
        <v>0</v>
      </c>
      <c r="J239" t="s">
        <v>14</v>
      </c>
      <c r="K239" s="12">
        <f t="shared" si="3"/>
        <v>0</v>
      </c>
    </row>
    <row r="240" spans="1:11" x14ac:dyDescent="0.2">
      <c r="A240" s="11">
        <v>45931</v>
      </c>
      <c r="B240" t="s">
        <v>56</v>
      </c>
      <c r="C240" t="s">
        <v>50</v>
      </c>
      <c r="D240" t="s">
        <v>57</v>
      </c>
      <c r="E240" s="1">
        <v>158</v>
      </c>
      <c r="F240" s="1">
        <v>162</v>
      </c>
      <c r="G240" s="1">
        <v>4</v>
      </c>
      <c r="H240" s="1">
        <v>0</v>
      </c>
      <c r="I240" s="1">
        <v>0</v>
      </c>
      <c r="J240" t="s">
        <v>14</v>
      </c>
      <c r="K240" s="12">
        <f t="shared" si="3"/>
        <v>0</v>
      </c>
    </row>
    <row r="241" spans="1:11" x14ac:dyDescent="0.2">
      <c r="A241" s="11">
        <v>45931</v>
      </c>
      <c r="B241" t="s">
        <v>58</v>
      </c>
      <c r="C241" t="s">
        <v>50</v>
      </c>
      <c r="D241" t="s">
        <v>23</v>
      </c>
      <c r="E241" s="1">
        <v>158</v>
      </c>
      <c r="F241" s="1">
        <v>158</v>
      </c>
      <c r="G241" s="1">
        <v>0</v>
      </c>
      <c r="H241" s="1">
        <v>0</v>
      </c>
      <c r="I241" s="1">
        <v>0</v>
      </c>
      <c r="J241" t="s">
        <v>14</v>
      </c>
      <c r="K241" s="12">
        <f t="shared" si="3"/>
        <v>0</v>
      </c>
    </row>
    <row r="242" spans="1:11" x14ac:dyDescent="0.2">
      <c r="A242" s="11">
        <v>45962</v>
      </c>
      <c r="B242" t="s">
        <v>11</v>
      </c>
      <c r="C242" t="s">
        <v>12</v>
      </c>
      <c r="D242" t="s">
        <v>13</v>
      </c>
      <c r="E242" s="1">
        <v>134</v>
      </c>
      <c r="F242" s="1">
        <v>134</v>
      </c>
      <c r="G242" s="1">
        <v>0</v>
      </c>
      <c r="H242" s="1">
        <v>0</v>
      </c>
      <c r="I242" s="1">
        <v>0</v>
      </c>
      <c r="J242" t="s">
        <v>14</v>
      </c>
      <c r="K242" s="12">
        <f t="shared" si="3"/>
        <v>0</v>
      </c>
    </row>
    <row r="243" spans="1:11" x14ac:dyDescent="0.2">
      <c r="A243" s="11">
        <v>45962</v>
      </c>
      <c r="B243" t="s">
        <v>15</v>
      </c>
      <c r="C243" t="s">
        <v>12</v>
      </c>
      <c r="D243" t="s">
        <v>16</v>
      </c>
      <c r="E243" s="1">
        <v>151</v>
      </c>
      <c r="F243" s="1">
        <v>137</v>
      </c>
      <c r="G243" s="1">
        <v>0</v>
      </c>
      <c r="H243" s="1">
        <v>14</v>
      </c>
      <c r="I243" s="1">
        <v>2</v>
      </c>
      <c r="J243" t="s">
        <v>18</v>
      </c>
      <c r="K243" s="12">
        <f t="shared" si="3"/>
        <v>9.2715231788079472E-2</v>
      </c>
    </row>
    <row r="244" spans="1:11" x14ac:dyDescent="0.2">
      <c r="A244" s="11">
        <v>45962</v>
      </c>
      <c r="B244" t="s">
        <v>17</v>
      </c>
      <c r="C244" t="s">
        <v>12</v>
      </c>
      <c r="D244" t="s">
        <v>13</v>
      </c>
      <c r="E244" s="1">
        <v>101</v>
      </c>
      <c r="F244" s="1">
        <v>101</v>
      </c>
      <c r="G244" s="1">
        <v>0</v>
      </c>
      <c r="H244" s="1">
        <v>0</v>
      </c>
      <c r="I244" s="1">
        <v>0</v>
      </c>
      <c r="J244" t="s">
        <v>14</v>
      </c>
      <c r="K244" s="12">
        <f t="shared" si="3"/>
        <v>0</v>
      </c>
    </row>
    <row r="245" spans="1:11" x14ac:dyDescent="0.2">
      <c r="A245" s="11">
        <v>45962</v>
      </c>
      <c r="B245" t="s">
        <v>19</v>
      </c>
      <c r="C245" t="s">
        <v>12</v>
      </c>
      <c r="D245" t="s">
        <v>16</v>
      </c>
      <c r="E245" s="1">
        <v>151</v>
      </c>
      <c r="F245" s="1">
        <v>151</v>
      </c>
      <c r="G245" s="1">
        <v>0</v>
      </c>
      <c r="H245" s="1">
        <v>0</v>
      </c>
      <c r="I245" s="1">
        <v>0</v>
      </c>
      <c r="J245" t="s">
        <v>14</v>
      </c>
      <c r="K245" s="12">
        <f t="shared" si="3"/>
        <v>0</v>
      </c>
    </row>
    <row r="246" spans="1:11" x14ac:dyDescent="0.2">
      <c r="A246" s="11">
        <v>45962</v>
      </c>
      <c r="B246" t="s">
        <v>20</v>
      </c>
      <c r="C246" t="s">
        <v>12</v>
      </c>
      <c r="D246" t="s">
        <v>21</v>
      </c>
      <c r="E246" s="1">
        <v>118</v>
      </c>
      <c r="F246" s="1">
        <v>118</v>
      </c>
      <c r="G246" s="1">
        <v>0</v>
      </c>
      <c r="H246" s="1">
        <v>0</v>
      </c>
      <c r="I246" s="1">
        <v>0</v>
      </c>
      <c r="J246" t="s">
        <v>14</v>
      </c>
      <c r="K246" s="12">
        <f t="shared" si="3"/>
        <v>0</v>
      </c>
    </row>
    <row r="247" spans="1:11" x14ac:dyDescent="0.2">
      <c r="A247" s="11">
        <v>45962</v>
      </c>
      <c r="B247" t="s">
        <v>22</v>
      </c>
      <c r="C247" t="s">
        <v>12</v>
      </c>
      <c r="D247" t="s">
        <v>23</v>
      </c>
      <c r="E247" s="1">
        <v>151</v>
      </c>
      <c r="F247" s="1">
        <v>79</v>
      </c>
      <c r="G247" s="1">
        <v>0</v>
      </c>
      <c r="H247" s="1">
        <v>72</v>
      </c>
      <c r="I247" s="1">
        <v>10</v>
      </c>
      <c r="J247" t="s">
        <v>38</v>
      </c>
      <c r="K247" s="12">
        <f t="shared" si="3"/>
        <v>0.47682119205298013</v>
      </c>
    </row>
    <row r="248" spans="1:11" x14ac:dyDescent="0.2">
      <c r="A248" s="11">
        <v>45962</v>
      </c>
      <c r="B248" t="s">
        <v>24</v>
      </c>
      <c r="C248" t="s">
        <v>25</v>
      </c>
      <c r="D248" t="s">
        <v>26</v>
      </c>
      <c r="E248" s="1">
        <v>160</v>
      </c>
      <c r="F248" s="1">
        <v>160</v>
      </c>
      <c r="G248" s="1">
        <v>0</v>
      </c>
      <c r="H248" s="1">
        <v>0</v>
      </c>
      <c r="I248" s="1">
        <v>0</v>
      </c>
      <c r="J248" t="s">
        <v>14</v>
      </c>
      <c r="K248" s="12">
        <f t="shared" si="3"/>
        <v>0</v>
      </c>
    </row>
    <row r="249" spans="1:11" x14ac:dyDescent="0.2">
      <c r="A249" s="11">
        <v>45962</v>
      </c>
      <c r="B249" t="s">
        <v>27</v>
      </c>
      <c r="C249" t="s">
        <v>25</v>
      </c>
      <c r="D249" t="s">
        <v>28</v>
      </c>
      <c r="E249" s="1">
        <v>84</v>
      </c>
      <c r="F249" s="1">
        <v>77</v>
      </c>
      <c r="G249" s="1">
        <v>5</v>
      </c>
      <c r="H249" s="1">
        <v>12</v>
      </c>
      <c r="I249" s="1">
        <v>3</v>
      </c>
      <c r="J249" t="s">
        <v>18</v>
      </c>
      <c r="K249" s="12">
        <f t="shared" si="3"/>
        <v>0.14285714285714285</v>
      </c>
    </row>
    <row r="250" spans="1:11" x14ac:dyDescent="0.2">
      <c r="A250" s="11">
        <v>45962</v>
      </c>
      <c r="B250" t="s">
        <v>29</v>
      </c>
      <c r="C250" t="s">
        <v>25</v>
      </c>
      <c r="D250" t="s">
        <v>30</v>
      </c>
      <c r="E250" s="1">
        <v>134</v>
      </c>
      <c r="F250" s="1">
        <v>134</v>
      </c>
      <c r="G250" s="1">
        <v>0</v>
      </c>
      <c r="H250" s="1">
        <v>0</v>
      </c>
      <c r="I250" s="1">
        <v>0</v>
      </c>
      <c r="J250" t="s">
        <v>14</v>
      </c>
      <c r="K250" s="12">
        <f t="shared" si="3"/>
        <v>0</v>
      </c>
    </row>
    <row r="251" spans="1:11" x14ac:dyDescent="0.2">
      <c r="A251" s="11">
        <v>45962</v>
      </c>
      <c r="B251" t="s">
        <v>31</v>
      </c>
      <c r="C251" t="s">
        <v>25</v>
      </c>
      <c r="D251" t="s">
        <v>26</v>
      </c>
      <c r="E251" s="1">
        <v>160</v>
      </c>
      <c r="F251" s="1">
        <v>160</v>
      </c>
      <c r="G251" s="1">
        <v>0</v>
      </c>
      <c r="H251" s="1">
        <v>0</v>
      </c>
      <c r="I251" s="1">
        <v>0</v>
      </c>
      <c r="J251" t="s">
        <v>14</v>
      </c>
      <c r="K251" s="12">
        <f t="shared" si="3"/>
        <v>0</v>
      </c>
    </row>
    <row r="252" spans="1:11" x14ac:dyDescent="0.2">
      <c r="A252" s="11">
        <v>45962</v>
      </c>
      <c r="B252" t="s">
        <v>32</v>
      </c>
      <c r="C252" t="s">
        <v>33</v>
      </c>
      <c r="D252" t="s">
        <v>34</v>
      </c>
      <c r="E252" s="1">
        <v>134</v>
      </c>
      <c r="F252" s="1">
        <v>134</v>
      </c>
      <c r="G252" s="1">
        <v>0</v>
      </c>
      <c r="H252" s="1">
        <v>0</v>
      </c>
      <c r="I252" s="1">
        <v>0</v>
      </c>
      <c r="J252" t="s">
        <v>14</v>
      </c>
      <c r="K252" s="12">
        <f t="shared" si="3"/>
        <v>0</v>
      </c>
    </row>
    <row r="253" spans="1:11" x14ac:dyDescent="0.2">
      <c r="A253" s="11">
        <v>45962</v>
      </c>
      <c r="B253" t="s">
        <v>35</v>
      </c>
      <c r="C253" t="s">
        <v>33</v>
      </c>
      <c r="D253" t="s">
        <v>34</v>
      </c>
      <c r="E253" s="1">
        <v>151</v>
      </c>
      <c r="F253" s="1">
        <v>159</v>
      </c>
      <c r="G253" s="1">
        <v>8</v>
      </c>
      <c r="H253" s="1">
        <v>0</v>
      </c>
      <c r="I253" s="1">
        <v>0</v>
      </c>
      <c r="J253" t="s">
        <v>14</v>
      </c>
      <c r="K253" s="12">
        <f t="shared" si="3"/>
        <v>0</v>
      </c>
    </row>
    <row r="254" spans="1:11" x14ac:dyDescent="0.2">
      <c r="A254" s="11">
        <v>45962</v>
      </c>
      <c r="B254" t="s">
        <v>36</v>
      </c>
      <c r="C254" t="s">
        <v>33</v>
      </c>
      <c r="D254" t="s">
        <v>34</v>
      </c>
      <c r="E254" s="1">
        <v>101</v>
      </c>
      <c r="F254" s="1">
        <v>101</v>
      </c>
      <c r="G254" s="1">
        <v>0</v>
      </c>
      <c r="H254" s="1">
        <v>0</v>
      </c>
      <c r="I254" s="1">
        <v>0</v>
      </c>
      <c r="J254" t="s">
        <v>14</v>
      </c>
      <c r="K254" s="12">
        <f t="shared" si="3"/>
        <v>0</v>
      </c>
    </row>
    <row r="255" spans="1:11" x14ac:dyDescent="0.2">
      <c r="A255" s="11">
        <v>45962</v>
      </c>
      <c r="B255" t="s">
        <v>37</v>
      </c>
      <c r="C255" t="s">
        <v>33</v>
      </c>
      <c r="D255" t="s">
        <v>23</v>
      </c>
      <c r="E255" s="1">
        <v>151</v>
      </c>
      <c r="F255" s="1">
        <v>158</v>
      </c>
      <c r="G255" s="1">
        <v>7</v>
      </c>
      <c r="H255" s="1">
        <v>0</v>
      </c>
      <c r="I255" s="1">
        <v>0</v>
      </c>
      <c r="J255" t="s">
        <v>14</v>
      </c>
      <c r="K255" s="12">
        <f t="shared" si="3"/>
        <v>0</v>
      </c>
    </row>
    <row r="256" spans="1:11" x14ac:dyDescent="0.2">
      <c r="A256" s="11">
        <v>45962</v>
      </c>
      <c r="B256" t="s">
        <v>39</v>
      </c>
      <c r="C256" t="s">
        <v>33</v>
      </c>
      <c r="D256" t="s">
        <v>34</v>
      </c>
      <c r="E256" s="1">
        <v>118</v>
      </c>
      <c r="F256" s="1">
        <v>118</v>
      </c>
      <c r="G256" s="1">
        <v>0</v>
      </c>
      <c r="H256" s="1">
        <v>0</v>
      </c>
      <c r="I256" s="1">
        <v>0</v>
      </c>
      <c r="J256" t="s">
        <v>14</v>
      </c>
      <c r="K256" s="12">
        <f t="shared" si="3"/>
        <v>0</v>
      </c>
    </row>
    <row r="257" spans="1:11" x14ac:dyDescent="0.2">
      <c r="A257" s="11">
        <v>45962</v>
      </c>
      <c r="B257" t="s">
        <v>40</v>
      </c>
      <c r="C257" t="s">
        <v>41</v>
      </c>
      <c r="D257" t="s">
        <v>42</v>
      </c>
      <c r="E257" s="1">
        <v>151</v>
      </c>
      <c r="F257" s="1">
        <v>161</v>
      </c>
      <c r="G257" s="1">
        <v>10</v>
      </c>
      <c r="H257" s="1">
        <v>0</v>
      </c>
      <c r="I257" s="1">
        <v>0</v>
      </c>
      <c r="J257" t="s">
        <v>14</v>
      </c>
      <c r="K257" s="12">
        <f t="shared" si="3"/>
        <v>0</v>
      </c>
    </row>
    <row r="258" spans="1:11" x14ac:dyDescent="0.2">
      <c r="A258" s="11">
        <v>45962</v>
      </c>
      <c r="B258" t="s">
        <v>43</v>
      </c>
      <c r="C258" t="s">
        <v>41</v>
      </c>
      <c r="D258" t="s">
        <v>44</v>
      </c>
      <c r="E258" s="1">
        <v>134</v>
      </c>
      <c r="F258" s="1">
        <v>128</v>
      </c>
      <c r="G258" s="1">
        <v>0</v>
      </c>
      <c r="H258" s="1">
        <v>6</v>
      </c>
      <c r="I258" s="1">
        <v>1</v>
      </c>
      <c r="J258" t="s">
        <v>18</v>
      </c>
      <c r="K258" s="12">
        <f t="shared" si="3"/>
        <v>4.4776119402985072E-2</v>
      </c>
    </row>
    <row r="259" spans="1:11" x14ac:dyDescent="0.2">
      <c r="A259" s="11">
        <v>45962</v>
      </c>
      <c r="B259" t="s">
        <v>45</v>
      </c>
      <c r="C259" t="s">
        <v>41</v>
      </c>
      <c r="D259" t="s">
        <v>46</v>
      </c>
      <c r="E259" s="1">
        <v>101</v>
      </c>
      <c r="F259" s="1">
        <v>101</v>
      </c>
      <c r="G259" s="1">
        <v>0</v>
      </c>
      <c r="H259" s="1">
        <v>0</v>
      </c>
      <c r="I259" s="1">
        <v>0</v>
      </c>
      <c r="J259" t="s">
        <v>14</v>
      </c>
      <c r="K259" s="12">
        <f t="shared" ref="K259:K289" si="4">IFERROR(H259/E259,0)</f>
        <v>0</v>
      </c>
    </row>
    <row r="260" spans="1:11" x14ac:dyDescent="0.2">
      <c r="A260" s="11">
        <v>45962</v>
      </c>
      <c r="B260" t="s">
        <v>47</v>
      </c>
      <c r="C260" t="s">
        <v>41</v>
      </c>
      <c r="D260" t="s">
        <v>48</v>
      </c>
      <c r="E260" s="1">
        <v>134</v>
      </c>
      <c r="F260" s="1">
        <v>134</v>
      </c>
      <c r="G260" s="1">
        <v>0</v>
      </c>
      <c r="H260" s="1">
        <v>0</v>
      </c>
      <c r="I260" s="1">
        <v>0</v>
      </c>
      <c r="J260" t="s">
        <v>14</v>
      </c>
      <c r="K260" s="12">
        <f t="shared" si="4"/>
        <v>0</v>
      </c>
    </row>
    <row r="261" spans="1:11" x14ac:dyDescent="0.2">
      <c r="A261" s="11">
        <v>45962</v>
      </c>
      <c r="B261" t="s">
        <v>49</v>
      </c>
      <c r="C261" t="s">
        <v>50</v>
      </c>
      <c r="D261" t="s">
        <v>51</v>
      </c>
      <c r="E261" s="1">
        <v>160</v>
      </c>
      <c r="F261" s="1">
        <v>152</v>
      </c>
      <c r="G261" s="1">
        <v>0</v>
      </c>
      <c r="H261" s="1">
        <v>8</v>
      </c>
      <c r="I261" s="1">
        <v>1</v>
      </c>
      <c r="J261" t="s">
        <v>18</v>
      </c>
      <c r="K261" s="12">
        <f t="shared" si="4"/>
        <v>0.05</v>
      </c>
    </row>
    <row r="262" spans="1:11" x14ac:dyDescent="0.2">
      <c r="A262" s="11">
        <v>45962</v>
      </c>
      <c r="B262" t="s">
        <v>52</v>
      </c>
      <c r="C262" t="s">
        <v>50</v>
      </c>
      <c r="D262" t="s">
        <v>53</v>
      </c>
      <c r="E262" s="1">
        <v>151</v>
      </c>
      <c r="F262" s="1">
        <v>151</v>
      </c>
      <c r="G262" s="1">
        <v>0</v>
      </c>
      <c r="H262" s="1">
        <v>0</v>
      </c>
      <c r="I262" s="1">
        <v>0</v>
      </c>
      <c r="J262" t="s">
        <v>14</v>
      </c>
      <c r="K262" s="12">
        <f t="shared" si="4"/>
        <v>0</v>
      </c>
    </row>
    <row r="263" spans="1:11" x14ac:dyDescent="0.2">
      <c r="A263" s="11">
        <v>45962</v>
      </c>
      <c r="B263" t="s">
        <v>54</v>
      </c>
      <c r="C263" t="s">
        <v>50</v>
      </c>
      <c r="D263" t="s">
        <v>55</v>
      </c>
      <c r="E263" s="1">
        <v>134</v>
      </c>
      <c r="F263" s="1">
        <v>134</v>
      </c>
      <c r="G263" s="1">
        <v>0</v>
      </c>
      <c r="H263" s="1">
        <v>0</v>
      </c>
      <c r="I263" s="1">
        <v>0</v>
      </c>
      <c r="J263" t="s">
        <v>14</v>
      </c>
      <c r="K263" s="12">
        <f t="shared" si="4"/>
        <v>0</v>
      </c>
    </row>
    <row r="264" spans="1:11" x14ac:dyDescent="0.2">
      <c r="A264" s="11">
        <v>45962</v>
      </c>
      <c r="B264" t="s">
        <v>56</v>
      </c>
      <c r="C264" t="s">
        <v>50</v>
      </c>
      <c r="D264" t="s">
        <v>57</v>
      </c>
      <c r="E264" s="1">
        <v>151</v>
      </c>
      <c r="F264" s="1">
        <v>153</v>
      </c>
      <c r="G264" s="1">
        <v>2</v>
      </c>
      <c r="H264" s="1">
        <v>0</v>
      </c>
      <c r="I264" s="1">
        <v>0</v>
      </c>
      <c r="J264" t="s">
        <v>14</v>
      </c>
      <c r="K264" s="12">
        <f t="shared" si="4"/>
        <v>0</v>
      </c>
    </row>
    <row r="265" spans="1:11" x14ac:dyDescent="0.2">
      <c r="A265" s="11">
        <v>45962</v>
      </c>
      <c r="B265" t="s">
        <v>58</v>
      </c>
      <c r="C265" t="s">
        <v>50</v>
      </c>
      <c r="D265" t="s">
        <v>23</v>
      </c>
      <c r="E265" s="1">
        <v>151</v>
      </c>
      <c r="F265" s="1">
        <v>151</v>
      </c>
      <c r="G265" s="1">
        <v>0</v>
      </c>
      <c r="H265" s="1">
        <v>0</v>
      </c>
      <c r="I265" s="1">
        <v>0</v>
      </c>
      <c r="J265" t="s">
        <v>14</v>
      </c>
      <c r="K265" s="12">
        <f t="shared" si="4"/>
        <v>0</v>
      </c>
    </row>
    <row r="266" spans="1:11" x14ac:dyDescent="0.2">
      <c r="A266" s="11">
        <v>45992</v>
      </c>
      <c r="B266" t="s">
        <v>11</v>
      </c>
      <c r="C266" t="s">
        <v>12</v>
      </c>
      <c r="D266" t="s">
        <v>13</v>
      </c>
      <c r="E266" s="1">
        <v>134</v>
      </c>
      <c r="F266" s="1">
        <v>134</v>
      </c>
      <c r="G266" s="1">
        <v>0</v>
      </c>
      <c r="H266" s="1">
        <v>0</v>
      </c>
      <c r="I266" s="1">
        <v>0</v>
      </c>
      <c r="J266" t="s">
        <v>14</v>
      </c>
      <c r="K266" s="12">
        <f t="shared" si="4"/>
        <v>0</v>
      </c>
    </row>
    <row r="267" spans="1:11" x14ac:dyDescent="0.2">
      <c r="A267" s="11">
        <v>45992</v>
      </c>
      <c r="B267" t="s">
        <v>15</v>
      </c>
      <c r="C267" t="s">
        <v>12</v>
      </c>
      <c r="D267" t="s">
        <v>16</v>
      </c>
      <c r="E267" s="1">
        <v>151</v>
      </c>
      <c r="F267" s="1">
        <v>160</v>
      </c>
      <c r="G267" s="1">
        <v>9</v>
      </c>
      <c r="H267" s="1">
        <v>0</v>
      </c>
      <c r="I267" s="1">
        <v>0</v>
      </c>
      <c r="J267" t="s">
        <v>14</v>
      </c>
      <c r="K267" s="12">
        <f t="shared" si="4"/>
        <v>0</v>
      </c>
    </row>
    <row r="268" spans="1:11" x14ac:dyDescent="0.2">
      <c r="A268" s="11">
        <v>45992</v>
      </c>
      <c r="B268" t="s">
        <v>17</v>
      </c>
      <c r="C268" t="s">
        <v>12</v>
      </c>
      <c r="D268" t="s">
        <v>13</v>
      </c>
      <c r="E268" s="1">
        <v>101</v>
      </c>
      <c r="F268" s="1">
        <v>96</v>
      </c>
      <c r="G268" s="1">
        <v>5</v>
      </c>
      <c r="H268" s="1">
        <v>10</v>
      </c>
      <c r="I268" s="1">
        <v>2</v>
      </c>
      <c r="J268" t="s">
        <v>18</v>
      </c>
      <c r="K268" s="12">
        <f t="shared" si="4"/>
        <v>9.9009900990099015E-2</v>
      </c>
    </row>
    <row r="269" spans="1:11" x14ac:dyDescent="0.2">
      <c r="A269" s="11">
        <v>45992</v>
      </c>
      <c r="B269" t="s">
        <v>19</v>
      </c>
      <c r="C269" t="s">
        <v>12</v>
      </c>
      <c r="D269" t="s">
        <v>16</v>
      </c>
      <c r="E269" s="1">
        <v>151</v>
      </c>
      <c r="F269" s="1">
        <v>151</v>
      </c>
      <c r="G269" s="1">
        <v>0</v>
      </c>
      <c r="H269" s="1">
        <v>0</v>
      </c>
      <c r="I269" s="1">
        <v>0</v>
      </c>
      <c r="J269" t="s">
        <v>14</v>
      </c>
      <c r="K269" s="12">
        <f t="shared" si="4"/>
        <v>0</v>
      </c>
    </row>
    <row r="270" spans="1:11" x14ac:dyDescent="0.2">
      <c r="A270" s="11">
        <v>45992</v>
      </c>
      <c r="B270" t="s">
        <v>20</v>
      </c>
      <c r="C270" t="s">
        <v>12</v>
      </c>
      <c r="D270" t="s">
        <v>21</v>
      </c>
      <c r="E270" s="1">
        <v>118</v>
      </c>
      <c r="F270" s="1">
        <v>118</v>
      </c>
      <c r="G270" s="1">
        <v>0</v>
      </c>
      <c r="H270" s="1">
        <v>0</v>
      </c>
      <c r="I270" s="1">
        <v>0</v>
      </c>
      <c r="J270" t="s">
        <v>14</v>
      </c>
      <c r="K270" s="12">
        <f t="shared" si="4"/>
        <v>0</v>
      </c>
    </row>
    <row r="271" spans="1:11" x14ac:dyDescent="0.2">
      <c r="A271" s="11">
        <v>45992</v>
      </c>
      <c r="B271" t="s">
        <v>22</v>
      </c>
      <c r="C271" t="s">
        <v>12</v>
      </c>
      <c r="D271" t="s">
        <v>23</v>
      </c>
      <c r="E271" s="1">
        <v>151</v>
      </c>
      <c r="F271" s="1">
        <v>151</v>
      </c>
      <c r="G271" s="1">
        <v>0</v>
      </c>
      <c r="H271" s="1">
        <v>0</v>
      </c>
      <c r="I271" s="1">
        <v>0</v>
      </c>
      <c r="J271" t="s">
        <v>14</v>
      </c>
      <c r="K271" s="12">
        <f t="shared" si="4"/>
        <v>0</v>
      </c>
    </row>
    <row r="272" spans="1:11" x14ac:dyDescent="0.2">
      <c r="A272" s="11">
        <v>45992</v>
      </c>
      <c r="B272" t="s">
        <v>24</v>
      </c>
      <c r="C272" t="s">
        <v>25</v>
      </c>
      <c r="D272" t="s">
        <v>26</v>
      </c>
      <c r="E272" s="1">
        <v>160</v>
      </c>
      <c r="F272" s="1">
        <v>160</v>
      </c>
      <c r="G272" s="1">
        <v>0</v>
      </c>
      <c r="H272" s="1">
        <v>0</v>
      </c>
      <c r="I272" s="1">
        <v>0</v>
      </c>
      <c r="J272" t="s">
        <v>14</v>
      </c>
      <c r="K272" s="12">
        <f t="shared" si="4"/>
        <v>0</v>
      </c>
    </row>
    <row r="273" spans="1:11" x14ac:dyDescent="0.2">
      <c r="A273" s="11">
        <v>45992</v>
      </c>
      <c r="B273" t="s">
        <v>27</v>
      </c>
      <c r="C273" t="s">
        <v>25</v>
      </c>
      <c r="D273" t="s">
        <v>28</v>
      </c>
      <c r="E273" s="1">
        <v>84</v>
      </c>
      <c r="F273" s="1">
        <v>35</v>
      </c>
      <c r="G273" s="1">
        <v>3</v>
      </c>
      <c r="H273" s="1">
        <v>52</v>
      </c>
      <c r="I273" s="1">
        <v>13</v>
      </c>
      <c r="J273" t="s">
        <v>38</v>
      </c>
      <c r="K273" s="12">
        <f t="shared" si="4"/>
        <v>0.61904761904761907</v>
      </c>
    </row>
    <row r="274" spans="1:11" x14ac:dyDescent="0.2">
      <c r="A274" s="11">
        <v>45992</v>
      </c>
      <c r="B274" t="s">
        <v>29</v>
      </c>
      <c r="C274" t="s">
        <v>25</v>
      </c>
      <c r="D274" t="s">
        <v>30</v>
      </c>
      <c r="E274" s="1">
        <v>134</v>
      </c>
      <c r="F274" s="1">
        <v>137</v>
      </c>
      <c r="G274" s="1">
        <v>3</v>
      </c>
      <c r="H274" s="1">
        <v>0</v>
      </c>
      <c r="I274" s="1">
        <v>0</v>
      </c>
      <c r="J274" t="s">
        <v>14</v>
      </c>
      <c r="K274" s="12">
        <f t="shared" si="4"/>
        <v>0</v>
      </c>
    </row>
    <row r="275" spans="1:11" x14ac:dyDescent="0.2">
      <c r="A275" s="11">
        <v>45992</v>
      </c>
      <c r="B275" t="s">
        <v>31</v>
      </c>
      <c r="C275" t="s">
        <v>25</v>
      </c>
      <c r="D275" t="s">
        <v>26</v>
      </c>
      <c r="E275" s="1">
        <v>160</v>
      </c>
      <c r="F275" s="1">
        <v>170</v>
      </c>
      <c r="G275" s="1">
        <v>10</v>
      </c>
      <c r="H275" s="1">
        <v>0</v>
      </c>
      <c r="I275" s="1">
        <v>0</v>
      </c>
      <c r="J275" t="s">
        <v>14</v>
      </c>
      <c r="K275" s="12">
        <f t="shared" si="4"/>
        <v>0</v>
      </c>
    </row>
    <row r="276" spans="1:11" x14ac:dyDescent="0.2">
      <c r="A276" s="11">
        <v>45992</v>
      </c>
      <c r="B276" t="s">
        <v>32</v>
      </c>
      <c r="C276" t="s">
        <v>33</v>
      </c>
      <c r="D276" t="s">
        <v>34</v>
      </c>
      <c r="E276" s="1">
        <v>134</v>
      </c>
      <c r="F276" s="1">
        <v>134</v>
      </c>
      <c r="G276" s="1">
        <v>0</v>
      </c>
      <c r="H276" s="1">
        <v>0</v>
      </c>
      <c r="I276" s="1">
        <v>0</v>
      </c>
      <c r="J276" t="s">
        <v>14</v>
      </c>
      <c r="K276" s="12">
        <f t="shared" si="4"/>
        <v>0</v>
      </c>
    </row>
    <row r="277" spans="1:11" x14ac:dyDescent="0.2">
      <c r="A277" s="11">
        <v>45992</v>
      </c>
      <c r="B277" t="s">
        <v>35</v>
      </c>
      <c r="C277" t="s">
        <v>33</v>
      </c>
      <c r="D277" t="s">
        <v>34</v>
      </c>
      <c r="E277" s="1">
        <v>151</v>
      </c>
      <c r="F277" s="1">
        <v>153</v>
      </c>
      <c r="G277" s="1">
        <v>2</v>
      </c>
      <c r="H277" s="1">
        <v>0</v>
      </c>
      <c r="I277" s="1">
        <v>0</v>
      </c>
      <c r="J277" t="s">
        <v>14</v>
      </c>
      <c r="K277" s="12">
        <f t="shared" si="4"/>
        <v>0</v>
      </c>
    </row>
    <row r="278" spans="1:11" x14ac:dyDescent="0.2">
      <c r="A278" s="11">
        <v>45992</v>
      </c>
      <c r="B278" t="s">
        <v>36</v>
      </c>
      <c r="C278" t="s">
        <v>33</v>
      </c>
      <c r="D278" t="s">
        <v>34</v>
      </c>
      <c r="E278" s="1">
        <v>101</v>
      </c>
      <c r="F278" s="1">
        <v>101</v>
      </c>
      <c r="G278" s="1">
        <v>0</v>
      </c>
      <c r="H278" s="1">
        <v>0</v>
      </c>
      <c r="I278" s="1">
        <v>0</v>
      </c>
      <c r="J278" t="s">
        <v>14</v>
      </c>
      <c r="K278" s="12">
        <f t="shared" si="4"/>
        <v>0</v>
      </c>
    </row>
    <row r="279" spans="1:11" x14ac:dyDescent="0.2">
      <c r="A279" s="11">
        <v>45992</v>
      </c>
      <c r="B279" t="s">
        <v>37</v>
      </c>
      <c r="C279" t="s">
        <v>33</v>
      </c>
      <c r="D279" t="s">
        <v>23</v>
      </c>
      <c r="E279" s="1">
        <v>151</v>
      </c>
      <c r="F279" s="1">
        <v>151</v>
      </c>
      <c r="G279" s="1">
        <v>0</v>
      </c>
      <c r="H279" s="1">
        <v>0</v>
      </c>
      <c r="I279" s="1">
        <v>0</v>
      </c>
      <c r="J279" t="s">
        <v>14</v>
      </c>
      <c r="K279" s="12">
        <f t="shared" si="4"/>
        <v>0</v>
      </c>
    </row>
    <row r="280" spans="1:11" x14ac:dyDescent="0.2">
      <c r="A280" s="11">
        <v>45992</v>
      </c>
      <c r="B280" t="s">
        <v>39</v>
      </c>
      <c r="C280" t="s">
        <v>33</v>
      </c>
      <c r="D280" t="s">
        <v>34</v>
      </c>
      <c r="E280" s="1">
        <v>118</v>
      </c>
      <c r="F280" s="1">
        <v>0</v>
      </c>
      <c r="G280" s="1">
        <v>0</v>
      </c>
      <c r="H280" s="1">
        <v>118</v>
      </c>
      <c r="I280" s="1">
        <v>21</v>
      </c>
      <c r="J280" t="s">
        <v>59</v>
      </c>
      <c r="K280" s="12">
        <f t="shared" si="4"/>
        <v>1</v>
      </c>
    </row>
    <row r="281" spans="1:11" x14ac:dyDescent="0.2">
      <c r="A281" s="11">
        <v>45992</v>
      </c>
      <c r="B281" t="s">
        <v>40</v>
      </c>
      <c r="C281" t="s">
        <v>41</v>
      </c>
      <c r="D281" t="s">
        <v>42</v>
      </c>
      <c r="E281" s="1">
        <v>151</v>
      </c>
      <c r="F281" s="1">
        <v>151</v>
      </c>
      <c r="G281" s="1">
        <v>0</v>
      </c>
      <c r="H281" s="1">
        <v>0</v>
      </c>
      <c r="I281" s="1">
        <v>0</v>
      </c>
      <c r="J281" t="s">
        <v>14</v>
      </c>
      <c r="K281" s="12">
        <f t="shared" si="4"/>
        <v>0</v>
      </c>
    </row>
    <row r="282" spans="1:11" x14ac:dyDescent="0.2">
      <c r="A282" s="11">
        <v>45992</v>
      </c>
      <c r="B282" t="s">
        <v>43</v>
      </c>
      <c r="C282" t="s">
        <v>41</v>
      </c>
      <c r="D282" t="s">
        <v>44</v>
      </c>
      <c r="E282" s="1">
        <v>134</v>
      </c>
      <c r="F282" s="1">
        <v>134</v>
      </c>
      <c r="G282" s="1">
        <v>0</v>
      </c>
      <c r="H282" s="1">
        <v>0</v>
      </c>
      <c r="I282" s="1">
        <v>0</v>
      </c>
      <c r="J282" t="s">
        <v>14</v>
      </c>
      <c r="K282" s="12">
        <f t="shared" si="4"/>
        <v>0</v>
      </c>
    </row>
    <row r="283" spans="1:11" x14ac:dyDescent="0.2">
      <c r="A283" s="11">
        <v>45992</v>
      </c>
      <c r="B283" t="s">
        <v>45</v>
      </c>
      <c r="C283" t="s">
        <v>41</v>
      </c>
      <c r="D283" t="s">
        <v>46</v>
      </c>
      <c r="E283" s="1">
        <v>101</v>
      </c>
      <c r="F283" s="1">
        <v>91</v>
      </c>
      <c r="G283" s="1">
        <v>0</v>
      </c>
      <c r="H283" s="1">
        <v>10</v>
      </c>
      <c r="I283" s="1">
        <v>2</v>
      </c>
      <c r="J283" t="s">
        <v>18</v>
      </c>
      <c r="K283" s="12">
        <f t="shared" si="4"/>
        <v>9.9009900990099015E-2</v>
      </c>
    </row>
    <row r="284" spans="1:11" x14ac:dyDescent="0.2">
      <c r="A284" s="11">
        <v>45992</v>
      </c>
      <c r="B284" t="s">
        <v>47</v>
      </c>
      <c r="C284" t="s">
        <v>41</v>
      </c>
      <c r="D284" t="s">
        <v>48</v>
      </c>
      <c r="E284" s="1">
        <v>134</v>
      </c>
      <c r="F284" s="1">
        <v>140</v>
      </c>
      <c r="G284" s="1">
        <v>6</v>
      </c>
      <c r="H284" s="1">
        <v>0</v>
      </c>
      <c r="I284" s="1">
        <v>0</v>
      </c>
      <c r="J284" t="s">
        <v>14</v>
      </c>
      <c r="K284" s="12">
        <f t="shared" si="4"/>
        <v>0</v>
      </c>
    </row>
    <row r="285" spans="1:11" x14ac:dyDescent="0.2">
      <c r="A285" s="11">
        <v>45992</v>
      </c>
      <c r="B285" t="s">
        <v>49</v>
      </c>
      <c r="C285" t="s">
        <v>50</v>
      </c>
      <c r="D285" t="s">
        <v>51</v>
      </c>
      <c r="E285" s="1">
        <v>160</v>
      </c>
      <c r="F285" s="1">
        <v>164</v>
      </c>
      <c r="G285" s="1">
        <v>4</v>
      </c>
      <c r="H285" s="1">
        <v>0</v>
      </c>
      <c r="I285" s="1">
        <v>0</v>
      </c>
      <c r="J285" t="s">
        <v>14</v>
      </c>
      <c r="K285" s="12">
        <f t="shared" si="4"/>
        <v>0</v>
      </c>
    </row>
    <row r="286" spans="1:11" x14ac:dyDescent="0.2">
      <c r="A286" s="11">
        <v>45992</v>
      </c>
      <c r="B286" t="s">
        <v>52</v>
      </c>
      <c r="C286" t="s">
        <v>50</v>
      </c>
      <c r="D286" t="s">
        <v>53</v>
      </c>
      <c r="E286" s="1">
        <v>151</v>
      </c>
      <c r="F286" s="1">
        <v>137</v>
      </c>
      <c r="G286" s="1">
        <v>0</v>
      </c>
      <c r="H286" s="1">
        <v>14</v>
      </c>
      <c r="I286" s="1">
        <v>2</v>
      </c>
      <c r="J286" t="s">
        <v>18</v>
      </c>
      <c r="K286" s="12">
        <f t="shared" si="4"/>
        <v>9.2715231788079472E-2</v>
      </c>
    </row>
    <row r="287" spans="1:11" x14ac:dyDescent="0.2">
      <c r="A287" s="11">
        <v>45992</v>
      </c>
      <c r="B287" t="s">
        <v>54</v>
      </c>
      <c r="C287" t="s">
        <v>50</v>
      </c>
      <c r="D287" t="s">
        <v>55</v>
      </c>
      <c r="E287" s="1">
        <v>134</v>
      </c>
      <c r="F287" s="1">
        <v>134</v>
      </c>
      <c r="G287" s="1">
        <v>0</v>
      </c>
      <c r="H287" s="1">
        <v>0</v>
      </c>
      <c r="I287" s="1">
        <v>0</v>
      </c>
      <c r="J287" t="s">
        <v>14</v>
      </c>
      <c r="K287" s="12">
        <f t="shared" si="4"/>
        <v>0</v>
      </c>
    </row>
    <row r="288" spans="1:11" x14ac:dyDescent="0.2">
      <c r="A288" s="11">
        <v>45992</v>
      </c>
      <c r="B288" t="s">
        <v>56</v>
      </c>
      <c r="C288" t="s">
        <v>50</v>
      </c>
      <c r="D288" t="s">
        <v>57</v>
      </c>
      <c r="E288" s="1">
        <v>151</v>
      </c>
      <c r="F288" s="1">
        <v>0</v>
      </c>
      <c r="G288" s="1">
        <v>0</v>
      </c>
      <c r="H288" s="1">
        <v>151</v>
      </c>
      <c r="I288" s="1">
        <v>21</v>
      </c>
      <c r="J288" t="s">
        <v>59</v>
      </c>
      <c r="K288" s="12">
        <f t="shared" si="4"/>
        <v>1</v>
      </c>
    </row>
    <row r="289" spans="1:11" x14ac:dyDescent="0.2">
      <c r="A289" s="11">
        <v>45992</v>
      </c>
      <c r="B289" t="s">
        <v>58</v>
      </c>
      <c r="C289" t="s">
        <v>50</v>
      </c>
      <c r="D289" t="s">
        <v>23</v>
      </c>
      <c r="E289" s="1">
        <v>151</v>
      </c>
      <c r="F289" s="1">
        <v>151</v>
      </c>
      <c r="G289" s="1">
        <v>0</v>
      </c>
      <c r="H289" s="1">
        <v>0</v>
      </c>
      <c r="I289" s="1">
        <v>0</v>
      </c>
      <c r="J289" t="s">
        <v>14</v>
      </c>
      <c r="K289" s="12">
        <f t="shared" si="4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72D5-0058-AD4E-A65E-E62174395E10}">
  <dimension ref="A1:M50"/>
  <sheetViews>
    <sheetView topLeftCell="A47" workbookViewId="0"/>
  </sheetViews>
  <sheetFormatPr baseColWidth="10" defaultRowHeight="16" x14ac:dyDescent="0.2"/>
  <cols>
    <col min="1" max="1" width="21.6640625" customWidth="1"/>
    <col min="2" max="13" width="12" customWidth="1"/>
  </cols>
  <sheetData>
    <row r="1" spans="1:7" ht="22" x14ac:dyDescent="0.3">
      <c r="A1" s="13" t="s">
        <v>94</v>
      </c>
    </row>
    <row r="2" spans="1:7" x14ac:dyDescent="0.2">
      <c r="A2" s="3" t="s">
        <v>95</v>
      </c>
    </row>
    <row r="4" spans="1:7" x14ac:dyDescent="0.2">
      <c r="A4" s="2" t="s">
        <v>96</v>
      </c>
    </row>
    <row r="5" spans="1:7" x14ac:dyDescent="0.2">
      <c r="A5" s="16" t="s">
        <v>2</v>
      </c>
      <c r="B5" s="16" t="s">
        <v>7</v>
      </c>
      <c r="C5" s="16" t="s">
        <v>4</v>
      </c>
      <c r="D5" s="16" t="s">
        <v>10</v>
      </c>
      <c r="E5" s="16" t="s">
        <v>6</v>
      </c>
      <c r="F5" s="16" t="s">
        <v>97</v>
      </c>
      <c r="G5" s="16" t="s">
        <v>98</v>
      </c>
    </row>
    <row r="6" spans="1:7" x14ac:dyDescent="0.2">
      <c r="A6" t="s">
        <v>12</v>
      </c>
      <c r="B6" s="1">
        <f>SUMIFS(Registratie[Verzuimuren],Registratie[Afdeling],$A6)</f>
        <v>894</v>
      </c>
      <c r="C6" s="1">
        <f>SUMIFS(Registratie[Contracturen],Registratie[Afdeling],$A6)</f>
        <v>9786</v>
      </c>
      <c r="D6" s="12">
        <f>IFERROR(B6/C6,0)</f>
        <v>9.1354996934396082E-2</v>
      </c>
      <c r="E6" s="1">
        <f>SUMIFS(Registratie[Overuren],Registratie[Afdeling],$A6)</f>
        <v>125</v>
      </c>
      <c r="F6" s="1">
        <f>SUMIFS(Registratie[Verzuimuren],Registratie[Afdeling],$A6,Registratie[Verzuimsoort],"Langdurig (&gt; 6 wk)")</f>
        <v>573</v>
      </c>
      <c r="G6" s="1" cm="1">
        <f t="array" ref="G6">COUNTA(_xlfn.UNIQUE(_xlfn._xlws.FILTER(Registratie[Medewerker],Registratie[Afdeling]=$A6)))</f>
        <v>6</v>
      </c>
    </row>
    <row r="7" spans="1:7" x14ac:dyDescent="0.2">
      <c r="A7" t="s">
        <v>33</v>
      </c>
      <c r="B7" s="1">
        <f>SUMIFS(Registratie[Verzuimuren],Registratie[Afdeling],$A7)</f>
        <v>501</v>
      </c>
      <c r="C7" s="1">
        <f>SUMIFS(Registratie[Contracturen],Registratie[Afdeling],$A7)</f>
        <v>7953</v>
      </c>
      <c r="D7" s="12">
        <f t="shared" ref="D7:D11" si="0">IFERROR(B7/C7,0)</f>
        <v>6.2995096190116937E-2</v>
      </c>
      <c r="E7" s="1">
        <f>SUMIFS(Registratie[Overuren],Registratie[Afdeling],$A7)</f>
        <v>139</v>
      </c>
      <c r="F7" s="1">
        <f>SUMIFS(Registratie[Verzuimuren],Registratie[Afdeling],$A7,Registratie[Verzuimsoort],"Langdurig (&gt; 6 wk)")</f>
        <v>224</v>
      </c>
      <c r="G7" s="1" cm="1">
        <f t="array" ref="G7">COUNTA(_xlfn.UNIQUE(_xlfn._xlws.FILTER(Registratie[Medewerker],Registratie[Afdeling]=$A7)))</f>
        <v>5</v>
      </c>
    </row>
    <row r="8" spans="1:7" x14ac:dyDescent="0.2">
      <c r="A8" t="s">
        <v>41</v>
      </c>
      <c r="B8" s="1">
        <f>SUMIFS(Registratie[Verzuimuren],Registratie[Afdeling],$A8)</f>
        <v>296</v>
      </c>
      <c r="C8" s="1">
        <f>SUMIFS(Registratie[Contracturen],Registratie[Afdeling],$A8)</f>
        <v>6322</v>
      </c>
      <c r="D8" s="12">
        <f t="shared" si="0"/>
        <v>4.682062638405568E-2</v>
      </c>
      <c r="E8" s="1">
        <f>SUMIFS(Registratie[Overuren],Registratie[Afdeling],$A8)</f>
        <v>92</v>
      </c>
      <c r="F8" s="1">
        <f>SUMIFS(Registratie[Verzuimuren],Registratie[Afdeling],$A8,Registratie[Verzuimsoort],"Langdurig (&gt; 6 wk)")</f>
        <v>96</v>
      </c>
      <c r="G8" s="1" cm="1">
        <f t="array" ref="G8">COUNTA(_xlfn.UNIQUE(_xlfn._xlws.FILTER(Registratie[Medewerker],Registratie[Afdeling]=$A8)))</f>
        <v>4</v>
      </c>
    </row>
    <row r="9" spans="1:7" x14ac:dyDescent="0.2">
      <c r="A9" t="s">
        <v>25</v>
      </c>
      <c r="B9" s="1">
        <f>SUMIFS(Registratie[Verzuimuren],Registratie[Afdeling],$A9)</f>
        <v>303</v>
      </c>
      <c r="C9" s="1">
        <f>SUMIFS(Registratie[Contracturen],Registratie[Afdeling],$A9)</f>
        <v>6529</v>
      </c>
      <c r="D9" s="12">
        <f t="shared" si="0"/>
        <v>4.6408332056976566E-2</v>
      </c>
      <c r="E9" s="1">
        <f>SUMIFS(Registratie[Overuren],Registratie[Afdeling],$A9)</f>
        <v>75</v>
      </c>
      <c r="F9" s="1">
        <f>SUMIFS(Registratie[Verzuimuren],Registratie[Afdeling],$A9,Registratie[Verzuimsoort],"Langdurig (&gt; 6 wk)")</f>
        <v>160</v>
      </c>
      <c r="G9" s="1" cm="1">
        <f t="array" ref="G9">COUNTA(_xlfn.UNIQUE(_xlfn._xlws.FILTER(Registratie[Medewerker],Registratie[Afdeling]=$A9)))</f>
        <v>4</v>
      </c>
    </row>
    <row r="10" spans="1:7" x14ac:dyDescent="0.2">
      <c r="A10" t="s">
        <v>50</v>
      </c>
      <c r="B10" s="1">
        <f>SUMIFS(Registratie[Verzuimuren],Registratie[Afdeling],$A10)</f>
        <v>180</v>
      </c>
      <c r="C10" s="1">
        <f>SUMIFS(Registratie[Contracturen],Registratie[Afdeling],$A10)</f>
        <v>9069</v>
      </c>
      <c r="D10" s="12">
        <f t="shared" si="0"/>
        <v>1.9847833278200461E-2</v>
      </c>
      <c r="E10" s="1">
        <f>SUMIFS(Registratie[Overuren],Registratie[Afdeling],$A10)</f>
        <v>118</v>
      </c>
      <c r="F10" s="1">
        <f>SUMIFS(Registratie[Verzuimuren],Registratie[Afdeling],$A10,Registratie[Verzuimsoort],"Langdurig (&gt; 6 wk)")</f>
        <v>151</v>
      </c>
      <c r="G10" s="1" cm="1">
        <f t="array" ref="G10">COUNTA(_xlfn.UNIQUE(_xlfn._xlws.FILTER(Registratie[Medewerker],Registratie[Afdeling]=$A10)))</f>
        <v>5</v>
      </c>
    </row>
    <row r="11" spans="1:7" x14ac:dyDescent="0.2">
      <c r="A11" s="2" t="s">
        <v>99</v>
      </c>
      <c r="B11" s="15">
        <f>SUM(B6:B10)</f>
        <v>2174</v>
      </c>
      <c r="C11" s="15">
        <f>SUM(C6:C10)</f>
        <v>39659</v>
      </c>
      <c r="D11" s="14">
        <f>IFERROR(B11/C11,0)</f>
        <v>5.4817317632819787E-2</v>
      </c>
      <c r="E11" s="15">
        <f>SUM(E6:E10)</f>
        <v>549</v>
      </c>
      <c r="F11" s="15">
        <f>SUM(F6:F10)</f>
        <v>1204</v>
      </c>
      <c r="G11" s="15">
        <f>SUM(G6:G10)</f>
        <v>24</v>
      </c>
    </row>
    <row r="13" spans="1:7" x14ac:dyDescent="0.2">
      <c r="A13" s="2" t="s">
        <v>100</v>
      </c>
    </row>
    <row r="14" spans="1:7" ht="68" x14ac:dyDescent="0.2">
      <c r="A14" s="18" t="s">
        <v>0</v>
      </c>
      <c r="B14" s="18" t="s">
        <v>7</v>
      </c>
      <c r="C14" s="18" t="s">
        <v>4</v>
      </c>
      <c r="D14" s="18" t="s">
        <v>10</v>
      </c>
      <c r="E14" s="18" t="s">
        <v>97</v>
      </c>
      <c r="F14" s="18" t="s">
        <v>101</v>
      </c>
      <c r="G14" s="18" t="s">
        <v>102</v>
      </c>
    </row>
    <row r="15" spans="1:7" x14ac:dyDescent="0.2">
      <c r="A15" s="11">
        <v>45658</v>
      </c>
      <c r="B15" s="1">
        <f>SUMIFS(Registratie[Verzuimuren],Registratie[Maand],$A15)</f>
        <v>139</v>
      </c>
      <c r="C15" s="1">
        <f>SUMIFS(Registratie[Contracturen],Registratie[Maand],$A15)</f>
        <v>3421</v>
      </c>
      <c r="D15" s="12">
        <f>IFERROR(B15/C15,0)</f>
        <v>4.0631394329143526E-2</v>
      </c>
      <c r="E15" s="1">
        <f>SUMIFS(Registratie[Verzuimuren],Registratie[Maand],$A15,Registratie[Verzuimsoort],"Langdurig (&gt; 6 wk)")</f>
        <v>0</v>
      </c>
      <c r="F15" s="12">
        <f>IFERROR(E15/B15,0)</f>
        <v>0</v>
      </c>
      <c r="G15" s="12">
        <f>IFERROR((B15-E15)/C15,0)</f>
        <v>4.0631394329143526E-2</v>
      </c>
    </row>
    <row r="16" spans="1:7" x14ac:dyDescent="0.2">
      <c r="A16" s="11">
        <v>45689</v>
      </c>
      <c r="B16" s="1">
        <f>SUMIFS(Registratie[Verzuimuren],Registratie[Maand],$A16)</f>
        <v>252</v>
      </c>
      <c r="C16" s="1">
        <f>SUMIFS(Registratie[Contracturen],Registratie[Maand],$A16)</f>
        <v>3112</v>
      </c>
      <c r="D16" s="12">
        <f t="shared" ref="D16:D26" si="1">IFERROR(B16/C16,0)</f>
        <v>8.0976863753213363E-2</v>
      </c>
      <c r="E16" s="1">
        <f>SUMIFS(Registratie[Verzuimuren],Registratie[Maand],$A16,Registratie[Verzuimsoort],"Langdurig (&gt; 6 wk)")</f>
        <v>96</v>
      </c>
      <c r="F16" s="12">
        <f t="shared" ref="F16:F27" si="2">IFERROR(E16/B16,0)</f>
        <v>0.38095238095238093</v>
      </c>
      <c r="G16" s="12">
        <f t="shared" ref="G16:G27" si="3">IFERROR((B16-E16)/C16,0)</f>
        <v>5.0128534704370183E-2</v>
      </c>
    </row>
    <row r="17" spans="1:7" x14ac:dyDescent="0.2">
      <c r="A17" s="11">
        <v>45717</v>
      </c>
      <c r="B17" s="1">
        <f>SUMIFS(Registratie[Verzuimuren],Registratie[Maand],$A17)</f>
        <v>51</v>
      </c>
      <c r="C17" s="1">
        <f>SUMIFS(Registratie[Contracturen],Registratie[Maand],$A17)</f>
        <v>3421</v>
      </c>
      <c r="D17" s="12">
        <f t="shared" si="1"/>
        <v>1.4907921660333235E-2</v>
      </c>
      <c r="E17" s="1">
        <f>SUMIFS(Registratie[Verzuimuren],Registratie[Maand],$A17,Registratie[Verzuimsoort],"Langdurig (&gt; 6 wk)")</f>
        <v>0</v>
      </c>
      <c r="F17" s="12">
        <f t="shared" si="2"/>
        <v>0</v>
      </c>
      <c r="G17" s="12">
        <f t="shared" si="3"/>
        <v>1.4907921660333235E-2</v>
      </c>
    </row>
    <row r="18" spans="1:7" x14ac:dyDescent="0.2">
      <c r="A18" s="11">
        <v>45748</v>
      </c>
      <c r="B18" s="1">
        <f>SUMIFS(Registratie[Verzuimuren],Registratie[Maand],$A18)</f>
        <v>16</v>
      </c>
      <c r="C18" s="1">
        <f>SUMIFS(Registratie[Contracturen],Registratie[Maand],$A18)</f>
        <v>3112</v>
      </c>
      <c r="D18" s="12">
        <f t="shared" si="1"/>
        <v>5.1413881748071976E-3</v>
      </c>
      <c r="E18" s="1">
        <f>SUMIFS(Registratie[Verzuimuren],Registratie[Maand],$A18,Registratie[Verzuimsoort],"Langdurig (&gt; 6 wk)")</f>
        <v>0</v>
      </c>
      <c r="F18" s="12">
        <f t="shared" si="2"/>
        <v>0</v>
      </c>
      <c r="G18" s="12">
        <f t="shared" si="3"/>
        <v>5.1413881748071976E-3</v>
      </c>
    </row>
    <row r="19" spans="1:7" x14ac:dyDescent="0.2">
      <c r="A19" s="11">
        <v>45778</v>
      </c>
      <c r="B19" s="1">
        <f>SUMIFS(Registratie[Verzuimuren],Registratie[Maand],$A19)</f>
        <v>209</v>
      </c>
      <c r="C19" s="1">
        <f>SUMIFS(Registratie[Contracturen],Registratie[Maand],$A19)</f>
        <v>3266</v>
      </c>
      <c r="D19" s="12">
        <f t="shared" si="1"/>
        <v>6.3992651561543171E-2</v>
      </c>
      <c r="E19" s="1">
        <f>SUMIFS(Registratie[Verzuimuren],Registratie[Maand],$A19,Registratie[Verzuimsoort],"Langdurig (&gt; 6 wk)")</f>
        <v>151</v>
      </c>
      <c r="F19" s="12">
        <f t="shared" si="2"/>
        <v>0.72248803827751196</v>
      </c>
      <c r="G19" s="12">
        <f t="shared" si="3"/>
        <v>1.7758726270667484E-2</v>
      </c>
    </row>
    <row r="20" spans="1:7" x14ac:dyDescent="0.2">
      <c r="A20" s="11">
        <v>45809</v>
      </c>
      <c r="B20" s="1">
        <f>SUMIFS(Registratie[Verzuimuren],Registratie[Maand],$A20)</f>
        <v>277</v>
      </c>
      <c r="C20" s="1">
        <f>SUMIFS(Registratie[Contracturen],Registratie[Maand],$A20)</f>
        <v>3266</v>
      </c>
      <c r="D20" s="12">
        <f t="shared" si="1"/>
        <v>8.4813227189222296E-2</v>
      </c>
      <c r="E20" s="1">
        <f>SUMIFS(Registratie[Verzuimuren],Registratie[Maand],$A20,Registratie[Verzuimsoort],"Langdurig (&gt; 6 wk)")</f>
        <v>160</v>
      </c>
      <c r="F20" s="12">
        <f t="shared" si="2"/>
        <v>0.57761732851985559</v>
      </c>
      <c r="G20" s="12">
        <f t="shared" si="3"/>
        <v>3.5823637477036131E-2</v>
      </c>
    </row>
    <row r="21" spans="1:7" x14ac:dyDescent="0.2">
      <c r="A21" s="11">
        <v>45839</v>
      </c>
      <c r="B21" s="1">
        <f>SUMIFS(Registratie[Verzuimuren],Registratie[Maand],$A21)</f>
        <v>237</v>
      </c>
      <c r="C21" s="1">
        <f>SUMIFS(Registratie[Contracturen],Registratie[Maand],$A21)</f>
        <v>3421</v>
      </c>
      <c r="D21" s="12">
        <f t="shared" si="1"/>
        <v>6.9277988892136808E-2</v>
      </c>
      <c r="E21" s="1">
        <f>SUMIFS(Registratie[Verzuimuren],Registratie[Maand],$A21,Registratie[Verzuimsoort],"Langdurig (&gt; 6 wk)")</f>
        <v>158</v>
      </c>
      <c r="F21" s="12">
        <f t="shared" si="2"/>
        <v>0.66666666666666663</v>
      </c>
      <c r="G21" s="12">
        <f t="shared" si="3"/>
        <v>2.30926629640456E-2</v>
      </c>
    </row>
    <row r="22" spans="1:7" x14ac:dyDescent="0.2">
      <c r="A22" s="11">
        <v>45870</v>
      </c>
      <c r="B22" s="1">
        <f>SUMIFS(Registratie[Verzuimuren],Registratie[Maand],$A22)</f>
        <v>39</v>
      </c>
      <c r="C22" s="1">
        <f>SUMIFS(Registratie[Contracturen],Registratie[Maand],$A22)</f>
        <v>3266</v>
      </c>
      <c r="D22" s="12">
        <f t="shared" si="1"/>
        <v>1.1941212492345376E-2</v>
      </c>
      <c r="E22" s="1">
        <f>SUMIFS(Registratie[Verzuimuren],Registratie[Maand],$A22,Registratie[Verzuimsoort],"Langdurig (&gt; 6 wk)")</f>
        <v>0</v>
      </c>
      <c r="F22" s="12">
        <f t="shared" si="2"/>
        <v>0</v>
      </c>
      <c r="G22" s="12">
        <f t="shared" si="3"/>
        <v>1.1941212492345376E-2</v>
      </c>
    </row>
    <row r="23" spans="1:7" x14ac:dyDescent="0.2">
      <c r="A23" s="11">
        <v>45901</v>
      </c>
      <c r="B23" s="1">
        <f>SUMIFS(Registratie[Verzuimuren],Registratie[Maand],$A23)</f>
        <v>149</v>
      </c>
      <c r="C23" s="1">
        <f>SUMIFS(Registratie[Contracturen],Registratie[Maand],$A23)</f>
        <v>3421</v>
      </c>
      <c r="D23" s="12">
        <f t="shared" si="1"/>
        <v>4.3554516223326512E-2</v>
      </c>
      <c r="E23" s="1">
        <f>SUMIFS(Registratie[Verzuimuren],Registratie[Maand],$A23,Registratie[Verzuimsoort],"Langdurig (&gt; 6 wk)")</f>
        <v>106</v>
      </c>
      <c r="F23" s="12">
        <f t="shared" si="2"/>
        <v>0.71140939597315433</v>
      </c>
      <c r="G23" s="12">
        <f t="shared" si="3"/>
        <v>1.2569424144986846E-2</v>
      </c>
    </row>
    <row r="24" spans="1:7" x14ac:dyDescent="0.2">
      <c r="A24" s="11">
        <v>45931</v>
      </c>
      <c r="B24" s="1">
        <f>SUMIFS(Registratie[Verzuimuren],Registratie[Maand],$A24)</f>
        <v>338</v>
      </c>
      <c r="C24" s="1">
        <f>SUMIFS(Registratie[Contracturen],Registratie[Maand],$A24)</f>
        <v>3421</v>
      </c>
      <c r="D24" s="12">
        <f t="shared" si="1"/>
        <v>9.8801520023384978E-2</v>
      </c>
      <c r="E24" s="1">
        <f>SUMIFS(Registratie[Verzuimuren],Registratie[Maand],$A24,Registratie[Verzuimsoort],"Langdurig (&gt; 6 wk)")</f>
        <v>264</v>
      </c>
      <c r="F24" s="12">
        <f t="shared" si="2"/>
        <v>0.78106508875739644</v>
      </c>
      <c r="G24" s="12">
        <f t="shared" si="3"/>
        <v>2.1631102016954108E-2</v>
      </c>
    </row>
    <row r="25" spans="1:7" x14ac:dyDescent="0.2">
      <c r="A25" s="11">
        <v>45962</v>
      </c>
      <c r="B25" s="1">
        <f>SUMIFS(Registratie[Verzuimuren],Registratie[Maand],$A25)</f>
        <v>112</v>
      </c>
      <c r="C25" s="1">
        <f>SUMIFS(Registratie[Contracturen],Registratie[Maand],$A25)</f>
        <v>3266</v>
      </c>
      <c r="D25" s="12">
        <f t="shared" si="1"/>
        <v>3.4292712798530314E-2</v>
      </c>
      <c r="E25" s="1">
        <f>SUMIFS(Registratie[Verzuimuren],Registratie[Maand],$A25,Registratie[Verzuimsoort],"Langdurig (&gt; 6 wk)")</f>
        <v>0</v>
      </c>
      <c r="F25" s="12">
        <f t="shared" si="2"/>
        <v>0</v>
      </c>
      <c r="G25" s="12">
        <f t="shared" si="3"/>
        <v>3.4292712798530314E-2</v>
      </c>
    </row>
    <row r="26" spans="1:7" x14ac:dyDescent="0.2">
      <c r="A26" s="11">
        <v>45992</v>
      </c>
      <c r="B26" s="1">
        <f>SUMIFS(Registratie[Verzuimuren],Registratie[Maand],$A26)</f>
        <v>355</v>
      </c>
      <c r="C26" s="1">
        <f>SUMIFS(Registratie[Contracturen],Registratie[Maand],$A26)</f>
        <v>3266</v>
      </c>
      <c r="D26" s="12">
        <f t="shared" si="1"/>
        <v>0.10869565217391304</v>
      </c>
      <c r="E26" s="1">
        <f>SUMIFS(Registratie[Verzuimuren],Registratie[Maand],$A26,Registratie[Verzuimsoort],"Langdurig (&gt; 6 wk)")</f>
        <v>269</v>
      </c>
      <c r="F26" s="12">
        <f t="shared" si="2"/>
        <v>0.75774647887323943</v>
      </c>
      <c r="G26" s="12">
        <f t="shared" si="3"/>
        <v>2.6331904470300063E-2</v>
      </c>
    </row>
    <row r="27" spans="1:7" x14ac:dyDescent="0.2">
      <c r="A27" s="2" t="s">
        <v>99</v>
      </c>
      <c r="B27" s="15">
        <f>SUM(B15:B26)</f>
        <v>2174</v>
      </c>
      <c r="C27" s="15">
        <f>SUM(C15:C26)</f>
        <v>39659</v>
      </c>
      <c r="D27" s="14">
        <f>IFERROR(B27/C27,0)</f>
        <v>5.4817317632819787E-2</v>
      </c>
      <c r="E27" s="15">
        <f>SUM(E15:E26)</f>
        <v>1204</v>
      </c>
      <c r="F27" s="14">
        <f>IFERROR(E27/B27,0)</f>
        <v>0.55381784728610861</v>
      </c>
      <c r="G27" s="14">
        <f>IFERROR((B27-E27)/C27,0)</f>
        <v>2.4458508787412694E-2</v>
      </c>
    </row>
    <row r="29" spans="1:7" x14ac:dyDescent="0.2">
      <c r="A29" s="2" t="s">
        <v>103</v>
      </c>
    </row>
    <row r="30" spans="1:7" x14ac:dyDescent="0.2">
      <c r="A30" s="16" t="s">
        <v>9</v>
      </c>
      <c r="B30" s="16" t="s">
        <v>7</v>
      </c>
      <c r="C30" s="16" t="s">
        <v>104</v>
      </c>
      <c r="D30" s="16" t="s">
        <v>105</v>
      </c>
      <c r="E30" s="16" t="s">
        <v>106</v>
      </c>
    </row>
    <row r="31" spans="1:7" x14ac:dyDescent="0.2">
      <c r="A31" s="2" t="s">
        <v>18</v>
      </c>
      <c r="B31" s="1">
        <f>SUMIFS(Registratie[Verzuimuren],Registratie[Verzuimsoort],$A31)</f>
        <v>461</v>
      </c>
      <c r="C31" s="12">
        <f>IFERROR(B31/$B$34,0)</f>
        <v>0.21205151793928242</v>
      </c>
      <c r="D31" s="1">
        <f>COUNTIFS(Registratie[Verzuimsoort],$A31)</f>
        <v>41</v>
      </c>
      <c r="E31" s="1" cm="1">
        <f t="array" ref="E31">COUNTA(_xlfn.UNIQUE(_xlfn._xlws.FILTER(Registratie[Medewerker],Registratie[Verzuimsoort]=$A31)))</f>
        <v>20</v>
      </c>
    </row>
    <row r="32" spans="1:7" x14ac:dyDescent="0.2">
      <c r="A32" s="2" t="s">
        <v>38</v>
      </c>
      <c r="B32" s="1">
        <f>SUMIFS(Registratie[Verzuimuren],Registratie[Verzuimsoort],$A32)</f>
        <v>509</v>
      </c>
      <c r="C32" s="12">
        <f t="shared" ref="C32:C33" si="4">IFERROR(B32/$B$34,0)</f>
        <v>0.23413063477460902</v>
      </c>
      <c r="D32" s="1">
        <f>COUNTIFS(Registratie[Verzuimsoort],$A32)</f>
        <v>9</v>
      </c>
      <c r="E32" s="1" cm="1">
        <f t="array" ref="E32">COUNTA(_xlfn.UNIQUE(_xlfn._xlws.FILTER(Registratie[Medewerker],Registratie[Verzuimsoort]=$A32)))</f>
        <v>7</v>
      </c>
    </row>
    <row r="33" spans="1:13" x14ac:dyDescent="0.2">
      <c r="A33" s="2" t="s">
        <v>59</v>
      </c>
      <c r="B33" s="1">
        <f>SUMIFS(Registratie[Verzuimuren],Registratie[Verzuimsoort],$A33)</f>
        <v>1204</v>
      </c>
      <c r="C33" s="12">
        <f t="shared" si="4"/>
        <v>0.55381784728610861</v>
      </c>
      <c r="D33" s="1">
        <f>COUNTIFS(Registratie[Verzuimsoort],$A33)</f>
        <v>9</v>
      </c>
      <c r="E33" s="1" cm="1">
        <f t="array" ref="E33">COUNTA(_xlfn.UNIQUE(_xlfn._xlws.FILTER(Registratie[Medewerker],Registratie[Verzuimsoort]=$A33)))</f>
        <v>9</v>
      </c>
    </row>
    <row r="34" spans="1:13" x14ac:dyDescent="0.2">
      <c r="A34" s="2" t="s">
        <v>99</v>
      </c>
      <c r="B34" s="15">
        <f>SUM(B31:B33)</f>
        <v>2174</v>
      </c>
      <c r="C34" s="14">
        <f>IFERROR(B34/$B$34,0)</f>
        <v>1</v>
      </c>
      <c r="D34" s="15">
        <f>SUM(D31:D33)</f>
        <v>59</v>
      </c>
      <c r="E34" s="15" cm="1">
        <f t="array" ref="E34">COUNTA(_xlfn.UNIQUE(_xlfn._xlws.FILTER(Registratie[Medewerker],Registratie[Verzuimsoort]&lt;&gt;"Geen")))</f>
        <v>22</v>
      </c>
    </row>
    <row r="36" spans="1:13" x14ac:dyDescent="0.2">
      <c r="A36" s="2" t="s">
        <v>107</v>
      </c>
    </row>
    <row r="37" spans="1:13" x14ac:dyDescent="0.2">
      <c r="A37" s="16" t="s">
        <v>2</v>
      </c>
      <c r="B37" s="17">
        <v>45658</v>
      </c>
      <c r="C37" s="17">
        <v>45689</v>
      </c>
      <c r="D37" s="17">
        <v>45717</v>
      </c>
      <c r="E37" s="17">
        <v>45748</v>
      </c>
      <c r="F37" s="17">
        <v>45778</v>
      </c>
      <c r="G37" s="17">
        <v>45809</v>
      </c>
      <c r="H37" s="17">
        <v>45839</v>
      </c>
      <c r="I37" s="17">
        <v>45870</v>
      </c>
      <c r="J37" s="17">
        <v>45901</v>
      </c>
      <c r="K37" s="17">
        <v>45931</v>
      </c>
      <c r="L37" s="17">
        <v>45962</v>
      </c>
      <c r="M37" s="17">
        <v>45992</v>
      </c>
    </row>
    <row r="38" spans="1:13" x14ac:dyDescent="0.2">
      <c r="A38" t="s">
        <v>12</v>
      </c>
      <c r="B38" s="12">
        <f>IFERROR(SUMIFS(Registratie[Verzuimuren],Registratie[Afdeling],$A38,Registratie[Maand],B$37)/SUMIFS(Registratie[Contracturen],Registratie[Afdeling],$A38,Registratie[Maand],B$37),0)</f>
        <v>5.9241706161137437E-3</v>
      </c>
      <c r="C38" s="12">
        <f>IFERROR(SUMIFS(Registratie[Verzuimuren],Registratie[Afdeling],$A38,Registratie[Maand],C$37)/SUMIFS(Registratie[Contracturen],Registratie[Afdeling],$A38,Registratie[Maand],C$37),0)</f>
        <v>6.640625E-2</v>
      </c>
      <c r="D38" s="12">
        <f>IFERROR(SUMIFS(Registratie[Verzuimuren],Registratie[Afdeling],$A38,Registratie[Maand],D$37)/SUMIFS(Registratie[Contracturen],Registratie[Afdeling],$A38,Registratie[Maand],D$37),0)</f>
        <v>2.2511848341232227E-2</v>
      </c>
      <c r="E38" s="12">
        <f>IFERROR(SUMIFS(Registratie[Verzuimuren],Registratie[Afdeling],$A38,Registratie[Maand],E$37)/SUMIFS(Registratie[Contracturen],Registratie[Afdeling],$A38,Registratie[Maand],E$37),0)</f>
        <v>1.3020833333333334E-2</v>
      </c>
      <c r="F38" s="12">
        <f>IFERROR(SUMIFS(Registratie[Verzuimuren],Registratie[Afdeling],$A38,Registratie[Maand],F$37)/SUMIFS(Registratie[Contracturen],Registratie[Afdeling],$A38,Registratie[Maand],F$37),0)</f>
        <v>0.18734491315136476</v>
      </c>
      <c r="G38" s="12">
        <f>IFERROR(SUMIFS(Registratie[Verzuimuren],Registratie[Afdeling],$A38,Registratie[Maand],G$37)/SUMIFS(Registratie[Contracturen],Registratie[Afdeling],$A38,Registratie[Maand],G$37),0)</f>
        <v>0.11290322580645161</v>
      </c>
      <c r="H38" s="12">
        <f>IFERROR(SUMIFS(Registratie[Verzuimuren],Registratie[Afdeling],$A38,Registratie[Maand],H$37)/SUMIFS(Registratie[Contracturen],Registratie[Afdeling],$A38,Registratie[Maand],H$37),0)</f>
        <v>0.20260663507109006</v>
      </c>
      <c r="I38" s="12">
        <f>IFERROR(SUMIFS(Registratie[Verzuimuren],Registratie[Afdeling],$A38,Registratie[Maand],I$37)/SUMIFS(Registratie[Contracturen],Registratie[Afdeling],$A38,Registratie[Maand],I$37),0)</f>
        <v>2.1091811414392061E-2</v>
      </c>
      <c r="J38" s="12">
        <f>IFERROR(SUMIFS(Registratie[Verzuimuren],Registratie[Afdeling],$A38,Registratie[Maand],J$37)/SUMIFS(Registratie[Contracturen],Registratie[Afdeling],$A38,Registratie[Maand],J$37),0)</f>
        <v>0.12559241706161137</v>
      </c>
      <c r="K38" s="12">
        <f>IFERROR(SUMIFS(Registratie[Verzuimuren],Registratie[Afdeling],$A38,Registratie[Maand],K$37)/SUMIFS(Registratie[Contracturen],Registratie[Afdeling],$A38,Registratie[Maand],K$37),0)</f>
        <v>0.20971563981042654</v>
      </c>
      <c r="L38" s="12">
        <f>IFERROR(SUMIFS(Registratie[Verzuimuren],Registratie[Afdeling],$A38,Registratie[Maand],L$37)/SUMIFS(Registratie[Contracturen],Registratie[Afdeling],$A38,Registratie[Maand],L$37),0)</f>
        <v>0.10669975186104218</v>
      </c>
      <c r="M38" s="12">
        <f>IFERROR(SUMIFS(Registratie[Verzuimuren],Registratie[Afdeling],$A38,Registratie[Maand],M$37)/SUMIFS(Registratie[Contracturen],Registratie[Afdeling],$A38,Registratie[Maand],M$37),0)</f>
        <v>1.2406947890818859E-2</v>
      </c>
    </row>
    <row r="39" spans="1:13" x14ac:dyDescent="0.2">
      <c r="A39" t="s">
        <v>33</v>
      </c>
      <c r="B39" s="12">
        <f>IFERROR(SUMIFS(Registratie[Verzuimuren],Registratie[Afdeling],$A39,Registratie[Maand],B$37)/SUMIFS(Registratie[Contracturen],Registratie[Afdeling],$A39,Registratie[Maand],B$37),0)</f>
        <v>0.11370262390670553</v>
      </c>
      <c r="C39" s="12">
        <f>IFERROR(SUMIFS(Registratie[Verzuimuren],Registratie[Afdeling],$A39,Registratie[Maand],C$37)/SUMIFS(Registratie[Contracturen],Registratie[Afdeling],$A39,Registratie[Maand],C$37),0)</f>
        <v>6.0897435897435896E-2</v>
      </c>
      <c r="D39" s="12">
        <f>IFERROR(SUMIFS(Registratie[Verzuimuren],Registratie[Afdeling],$A39,Registratie[Maand],D$37)/SUMIFS(Registratie[Contracturen],Registratie[Afdeling],$A39,Registratie[Maand],D$37),0)</f>
        <v>4.6647230320699708E-2</v>
      </c>
      <c r="E39" s="12">
        <f>IFERROR(SUMIFS(Registratie[Verzuimuren],Registratie[Afdeling],$A39,Registratie[Maand],E$37)/SUMIFS(Registratie[Contracturen],Registratie[Afdeling],$A39,Registratie[Maand],E$37),0)</f>
        <v>9.6153846153846159E-3</v>
      </c>
      <c r="F39" s="12">
        <f>IFERROR(SUMIFS(Registratie[Verzuimuren],Registratie[Afdeling],$A39,Registratie[Maand],F$37)/SUMIFS(Registratie[Contracturen],Registratie[Afdeling],$A39,Registratie[Maand],F$37),0)</f>
        <v>1.0687022900763359E-2</v>
      </c>
      <c r="G39" s="12">
        <f>IFERROR(SUMIFS(Registratie[Verzuimuren],Registratie[Afdeling],$A39,Registratie[Maand],G$37)/SUMIFS(Registratie[Contracturen],Registratie[Afdeling],$A39,Registratie[Maand],G$37),0)</f>
        <v>3.3587786259541987E-2</v>
      </c>
      <c r="H39" s="12">
        <f>IFERROR(SUMIFS(Registratie[Verzuimuren],Registratie[Afdeling],$A39,Registratie[Maand],H$37)/SUMIFS(Registratie[Contracturen],Registratie[Afdeling],$A39,Registratie[Maand],H$37),0)</f>
        <v>8.4548104956268216E-2</v>
      </c>
      <c r="I39" s="12">
        <f>IFERROR(SUMIFS(Registratie[Verzuimuren],Registratie[Afdeling],$A39,Registratie[Maand],I$37)/SUMIFS(Registratie[Contracturen],Registratie[Afdeling],$A39,Registratie[Maand],I$37),0)</f>
        <v>3.3587786259541987E-2</v>
      </c>
      <c r="J39" s="12">
        <f>IFERROR(SUMIFS(Registratie[Verzuimuren],Registratie[Afdeling],$A39,Registratie[Maand],J$37)/SUMIFS(Registratie[Contracturen],Registratie[Afdeling],$A39,Registratie[Maand],J$37),0)</f>
        <v>2.0408163265306121E-2</v>
      </c>
      <c r="K39" s="12">
        <f>IFERROR(SUMIFS(Registratie[Verzuimuren],Registratie[Afdeling],$A39,Registratie[Maand],K$37)/SUMIFS(Registratie[Contracturen],Registratie[Afdeling],$A39,Registratie[Maand],K$37),0)</f>
        <v>0.15451895043731778</v>
      </c>
      <c r="L39" s="12">
        <f>IFERROR(SUMIFS(Registratie[Verzuimuren],Registratie[Afdeling],$A39,Registratie[Maand],L$37)/SUMIFS(Registratie[Contracturen],Registratie[Afdeling],$A39,Registratie[Maand],L$37),0)</f>
        <v>0</v>
      </c>
      <c r="M39" s="12">
        <f>IFERROR(SUMIFS(Registratie[Verzuimuren],Registratie[Afdeling],$A39,Registratie[Maand],M$37)/SUMIFS(Registratie[Contracturen],Registratie[Afdeling],$A39,Registratie[Maand],M$37),0)</f>
        <v>0.18015267175572519</v>
      </c>
    </row>
    <row r="40" spans="1:13" x14ac:dyDescent="0.2">
      <c r="A40" t="s">
        <v>41</v>
      </c>
      <c r="B40" s="12">
        <f>IFERROR(SUMIFS(Registratie[Verzuimuren],Registratie[Afdeling],$A40,Registratie[Maand],B$37)/SUMIFS(Registratie[Contracturen],Registratie[Afdeling],$A40,Registratie[Maand],B$37),0)</f>
        <v>3.6630036630036632E-2</v>
      </c>
      <c r="C40" s="12">
        <f>IFERROR(SUMIFS(Registratie[Verzuimuren],Registratie[Afdeling],$A40,Registratie[Maand],C$37)/SUMIFS(Registratie[Contracturen],Registratie[Afdeling],$A40,Registratie[Maand],C$37),0)</f>
        <v>0.2963709677419355</v>
      </c>
      <c r="D40" s="12">
        <f>IFERROR(SUMIFS(Registratie[Verzuimuren],Registratie[Afdeling],$A40,Registratie[Maand],D$37)/SUMIFS(Registratie[Contracturen],Registratie[Afdeling],$A40,Registratie[Maand],D$37),0)</f>
        <v>0</v>
      </c>
      <c r="E40" s="12">
        <f>IFERROR(SUMIFS(Registratie[Verzuimuren],Registratie[Afdeling],$A40,Registratie[Maand],E$37)/SUMIFS(Registratie[Contracturen],Registratie[Afdeling],$A40,Registratie[Maand],E$37),0)</f>
        <v>0</v>
      </c>
      <c r="F40" s="12">
        <f>IFERROR(SUMIFS(Registratie[Verzuimuren],Registratie[Afdeling],$A40,Registratie[Maand],F$37)/SUMIFS(Registratie[Contracturen],Registratie[Afdeling],$A40,Registratie[Maand],F$37),0)</f>
        <v>9.8076923076923075E-2</v>
      </c>
      <c r="G40" s="12">
        <f>IFERROR(SUMIFS(Registratie[Verzuimuren],Registratie[Afdeling],$A40,Registratie[Maand],G$37)/SUMIFS(Registratie[Contracturen],Registratie[Afdeling],$A40,Registratie[Maand],G$37),0)</f>
        <v>0</v>
      </c>
      <c r="H40" s="12">
        <f>IFERROR(SUMIFS(Registratie[Verzuimuren],Registratie[Afdeling],$A40,Registratie[Maand],H$37)/SUMIFS(Registratie[Contracturen],Registratie[Afdeling],$A40,Registratie[Maand],H$37),0)</f>
        <v>0</v>
      </c>
      <c r="I40" s="12">
        <f>IFERROR(SUMIFS(Registratie[Verzuimuren],Registratie[Afdeling],$A40,Registratie[Maand],I$37)/SUMIFS(Registratie[Contracturen],Registratie[Afdeling],$A40,Registratie[Maand],I$37),0)</f>
        <v>0</v>
      </c>
      <c r="J40" s="12">
        <f>IFERROR(SUMIFS(Registratie[Verzuimuren],Registratie[Afdeling],$A40,Registratie[Maand],J$37)/SUMIFS(Registratie[Contracturen],Registratie[Afdeling],$A40,Registratie[Maand],J$37),0)</f>
        <v>1.282051282051282E-2</v>
      </c>
      <c r="K40" s="12">
        <f>IFERROR(SUMIFS(Registratie[Verzuimuren],Registratie[Afdeling],$A40,Registratie[Maand],K$37)/SUMIFS(Registratie[Contracturen],Registratie[Afdeling],$A40,Registratie[Maand],K$37),0)</f>
        <v>0.10073260073260074</v>
      </c>
      <c r="L40" s="12">
        <f>IFERROR(SUMIFS(Registratie[Verzuimuren],Registratie[Afdeling],$A40,Registratie[Maand],L$37)/SUMIFS(Registratie[Contracturen],Registratie[Afdeling],$A40,Registratie[Maand],L$37),0)</f>
        <v>1.1538461538461539E-2</v>
      </c>
      <c r="M40" s="12">
        <f>IFERROR(SUMIFS(Registratie[Verzuimuren],Registratie[Afdeling],$A40,Registratie[Maand],M$37)/SUMIFS(Registratie[Contracturen],Registratie[Afdeling],$A40,Registratie[Maand],M$37),0)</f>
        <v>1.9230769230769232E-2</v>
      </c>
    </row>
    <row r="41" spans="1:13" x14ac:dyDescent="0.2">
      <c r="A41" t="s">
        <v>25</v>
      </c>
      <c r="B41" s="12">
        <f>IFERROR(SUMIFS(Registratie[Verzuimuren],Registratie[Afdeling],$A41,Registratie[Maand],B$37)/SUMIFS(Registratie[Contracturen],Registratie[Afdeling],$A41,Registratie[Maand],B$37),0)</f>
        <v>6.3943161634103018E-2</v>
      </c>
      <c r="C41" s="12">
        <f>IFERROR(SUMIFS(Registratie[Verzuimuren],Registratie[Afdeling],$A41,Registratie[Maand],C$37)/SUMIFS(Registratie[Contracturen],Registratie[Afdeling],$A41,Registratie[Maand],C$37),0)</f>
        <v>3.125E-2</v>
      </c>
      <c r="D41" s="12">
        <f>IFERROR(SUMIFS(Registratie[Verzuimuren],Registratie[Afdeling],$A41,Registratie[Maand],D$37)/SUMIFS(Registratie[Contracturen],Registratie[Afdeling],$A41,Registratie[Maand],D$37),0)</f>
        <v>0</v>
      </c>
      <c r="E41" s="12">
        <f>IFERROR(SUMIFS(Registratie[Verzuimuren],Registratie[Afdeling],$A41,Registratie[Maand],E$37)/SUMIFS(Registratie[Contracturen],Registratie[Afdeling],$A41,Registratie[Maand],E$37),0)</f>
        <v>0</v>
      </c>
      <c r="F41" s="12">
        <f>IFERROR(SUMIFS(Registratie[Verzuimuren],Registratie[Afdeling],$A41,Registratie[Maand],F$37)/SUMIFS(Registratie[Contracturen],Registratie[Afdeling],$A41,Registratie[Maand],F$37),0)</f>
        <v>0</v>
      </c>
      <c r="G41" s="12">
        <f>IFERROR(SUMIFS(Registratie[Verzuimuren],Registratie[Afdeling],$A41,Registratie[Maand],G$37)/SUMIFS(Registratie[Contracturen],Registratie[Afdeling],$A41,Registratie[Maand],G$37),0)</f>
        <v>0.30483271375464682</v>
      </c>
      <c r="H41" s="12">
        <f>IFERROR(SUMIFS(Registratie[Verzuimuren],Registratie[Afdeling],$A41,Registratie[Maand],H$37)/SUMIFS(Registratie[Contracturen],Registratie[Afdeling],$A41,Registratie[Maand],H$37),0)</f>
        <v>1.4209591474245116E-2</v>
      </c>
      <c r="I41" s="12">
        <f>IFERROR(SUMIFS(Registratie[Verzuimuren],Registratie[Afdeling],$A41,Registratie[Maand],I$37)/SUMIFS(Registratie[Contracturen],Registratie[Afdeling],$A41,Registratie[Maand],I$37),0)</f>
        <v>0</v>
      </c>
      <c r="J41" s="12">
        <f>IFERROR(SUMIFS(Registratie[Verzuimuren],Registratie[Afdeling],$A41,Registratie[Maand],J$37)/SUMIFS(Registratie[Contracturen],Registratie[Afdeling],$A41,Registratie[Maand],J$37),0)</f>
        <v>2.664298401420959E-2</v>
      </c>
      <c r="K41" s="12">
        <f>IFERROR(SUMIFS(Registratie[Verzuimuren],Registratie[Afdeling],$A41,Registratie[Maand],K$37)/SUMIFS(Registratie[Contracturen],Registratie[Afdeling],$A41,Registratie[Maand],K$37),0)</f>
        <v>0</v>
      </c>
      <c r="L41" s="12">
        <f>IFERROR(SUMIFS(Registratie[Verzuimuren],Registratie[Afdeling],$A41,Registratie[Maand],L$37)/SUMIFS(Registratie[Contracturen],Registratie[Afdeling],$A41,Registratie[Maand],L$37),0)</f>
        <v>2.2304832713754646E-2</v>
      </c>
      <c r="M41" s="12">
        <f>IFERROR(SUMIFS(Registratie[Verzuimuren],Registratie[Afdeling],$A41,Registratie[Maand],M$37)/SUMIFS(Registratie[Contracturen],Registratie[Afdeling],$A41,Registratie[Maand],M$37),0)</f>
        <v>9.6654275092936809E-2</v>
      </c>
    </row>
    <row r="42" spans="1:13" x14ac:dyDescent="0.2">
      <c r="A42" t="s">
        <v>50</v>
      </c>
      <c r="B42" s="12">
        <f>IFERROR(SUMIFS(Registratie[Verzuimuren],Registratie[Afdeling],$A42,Registratie[Maand],B$37)/SUMIFS(Registratie[Contracturen],Registratie[Afdeling],$A42,Registratie[Maand],B$37),0)</f>
        <v>0</v>
      </c>
      <c r="C42" s="12">
        <f>IFERROR(SUMIFS(Registratie[Verzuimuren],Registratie[Afdeling],$A42,Registratie[Maand],C$37)/SUMIFS(Registratie[Contracturen],Registratie[Afdeling],$A42,Registratie[Maand],C$37),0)</f>
        <v>0</v>
      </c>
      <c r="D42" s="12">
        <f>IFERROR(SUMIFS(Registratie[Verzuimuren],Registratie[Afdeling],$A42,Registratie[Maand],D$37)/SUMIFS(Registratie[Contracturen],Registratie[Afdeling],$A42,Registratie[Maand],D$37),0)</f>
        <v>0</v>
      </c>
      <c r="E42" s="12">
        <f>IFERROR(SUMIFS(Registratie[Verzuimuren],Registratie[Afdeling],$A42,Registratie[Maand],E$37)/SUMIFS(Registratie[Contracturen],Registratie[Afdeling],$A42,Registratie[Maand],E$37),0)</f>
        <v>0</v>
      </c>
      <c r="F42" s="12">
        <f>IFERROR(SUMIFS(Registratie[Verzuimuren],Registratie[Afdeling],$A42,Registratie[Maand],F$37)/SUMIFS(Registratie[Contracturen],Registratie[Afdeling],$A42,Registratie[Maand],F$37),0)</f>
        <v>0</v>
      </c>
      <c r="G42" s="12">
        <f>IFERROR(SUMIFS(Registratie[Verzuimuren],Registratie[Afdeling],$A42,Registratie[Maand],G$37)/SUMIFS(Registratie[Contracturen],Registratie[Afdeling],$A42,Registratie[Maand],G$37),0)</f>
        <v>0</v>
      </c>
      <c r="H42" s="12">
        <f>IFERROR(SUMIFS(Registratie[Verzuimuren],Registratie[Afdeling],$A42,Registratie[Maand],H$37)/SUMIFS(Registratie[Contracturen],Registratie[Afdeling],$A42,Registratie[Maand],H$37),0)</f>
        <v>0</v>
      </c>
      <c r="I42" s="12">
        <f>IFERROR(SUMIFS(Registratie[Verzuimuren],Registratie[Afdeling],$A42,Registratie[Maand],I$37)/SUMIFS(Registratie[Contracturen],Registratie[Afdeling],$A42,Registratie[Maand],I$37),0)</f>
        <v>0</v>
      </c>
      <c r="J42" s="12">
        <f>IFERROR(SUMIFS(Registratie[Verzuimuren],Registratie[Afdeling],$A42,Registratie[Maand],J$37)/SUMIFS(Registratie[Contracturen],Registratie[Afdeling],$A42,Registratie[Maand],J$37),0)</f>
        <v>8.9514066496163679E-3</v>
      </c>
      <c r="K42" s="12">
        <f>IFERROR(SUMIFS(Registratie[Verzuimuren],Registratie[Afdeling],$A42,Registratie[Maand],K$37)/SUMIFS(Registratie[Contracturen],Registratie[Afdeling],$A42,Registratie[Maand],K$37),0)</f>
        <v>0</v>
      </c>
      <c r="L42" s="12">
        <f>IFERROR(SUMIFS(Registratie[Verzuimuren],Registratie[Afdeling],$A42,Registratie[Maand],L$37)/SUMIFS(Registratie[Contracturen],Registratie[Afdeling],$A42,Registratie[Maand],L$37),0)</f>
        <v>1.0709504685408299E-2</v>
      </c>
      <c r="M42" s="12">
        <f>IFERROR(SUMIFS(Registratie[Verzuimuren],Registratie[Afdeling],$A42,Registratie[Maand],M$37)/SUMIFS(Registratie[Contracturen],Registratie[Afdeling],$A42,Registratie[Maand],M$37),0)</f>
        <v>0.22088353413654618</v>
      </c>
    </row>
    <row r="44" spans="1:13" x14ac:dyDescent="0.2">
      <c r="A44" s="2" t="s">
        <v>108</v>
      </c>
    </row>
    <row r="45" spans="1:13" ht="340" x14ac:dyDescent="0.2">
      <c r="A45" s="8" t="s">
        <v>109</v>
      </c>
      <c r="B45" s="19" t="s">
        <v>110</v>
      </c>
    </row>
    <row r="46" spans="1:13" ht="323" x14ac:dyDescent="0.2">
      <c r="A46" s="8" t="s">
        <v>111</v>
      </c>
      <c r="B46" s="19" t="s">
        <v>112</v>
      </c>
    </row>
    <row r="47" spans="1:13" ht="272" x14ac:dyDescent="0.2">
      <c r="A47" s="8" t="s">
        <v>113</v>
      </c>
      <c r="B47" s="19" t="s">
        <v>114</v>
      </c>
    </row>
    <row r="48" spans="1:13" ht="204" x14ac:dyDescent="0.2">
      <c r="A48" s="8" t="s">
        <v>115</v>
      </c>
      <c r="B48" s="19" t="s">
        <v>116</v>
      </c>
    </row>
    <row r="49" spans="1:2" ht="356" x14ac:dyDescent="0.2">
      <c r="A49" s="8" t="s">
        <v>6</v>
      </c>
      <c r="B49" s="19" t="s">
        <v>117</v>
      </c>
    </row>
    <row r="50" spans="1:2" ht="187" x14ac:dyDescent="0.2">
      <c r="A50" s="8" t="s">
        <v>118</v>
      </c>
      <c r="B50" s="19" t="s">
        <v>119</v>
      </c>
    </row>
  </sheetData>
  <sheetProtection algorithmName="SHA-512" hashValue="a8gDPuW776UuMnO4XmPqo8r+q/LSFUzjbFdbt+EbT7tfaRWAZ7poGJ2jR8EoU+FExrFL2c12elEaEyKbZN+7wg==" saltValue="MaKXVvN1dyZHT625HX9whQ==" spinCount="100000" sheet="1" objects="1" scenarios="1"/>
  <conditionalFormatting sqref="B38:M42">
    <cfRule type="colorScale" priority="1">
      <colorScale>
        <cfvo type="min"/>
        <cfvo type="max"/>
        <color rgb="FFFFFFFF"/>
        <color rgb="FFF4B18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Toelichting</vt:lpstr>
      <vt:lpstr>Registratie</vt:lpstr>
      <vt:lpstr>Antwoordmodel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Van Hooff prive</dc:creator>
  <cp:lastModifiedBy>Nathalie Van Hooff prive</cp:lastModifiedBy>
  <dcterms:created xsi:type="dcterms:W3CDTF">2026-09-06T12:49:24Z</dcterms:created>
  <dcterms:modified xsi:type="dcterms:W3CDTF">2026-09-07T07:10:12Z</dcterms:modified>
</cp:coreProperties>
</file>